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rad\Music\dtdb\Excel (VBA) Projects\"/>
    </mc:Choice>
  </mc:AlternateContent>
  <xr:revisionPtr revIDLastSave="0" documentId="13_ncr:1_{61ED196A-FB19-4E1D-A254-ADB2F69422E4}" xr6:coauthVersionLast="47" xr6:coauthVersionMax="47" xr10:uidLastSave="{00000000-0000-0000-0000-000000000000}"/>
  <bookViews>
    <workbookView xWindow="-110" yWindow="-110" windowWidth="25820" windowHeight="14620" xr2:uid="{D7E3ED8E-A569-40BA-958D-BB93BBB560C6}"/>
  </bookViews>
  <sheets>
    <sheet name="mtx_base_1" sheetId="6" r:id="rId1"/>
    <sheet name="mtx_base_2" sheetId="7" r:id="rId2"/>
    <sheet name="mtx_base_3" sheetId="8" r:id="rId3"/>
    <sheet name="mtx_base_4" sheetId="9" r:id="rId4"/>
    <sheet name="mtx_base_5" sheetId="10" r:id="rId5"/>
    <sheet name="mtx_base_6" sheetId="11" r:id="rId6"/>
    <sheet name="mtx_base_7" sheetId="20" r:id="rId7"/>
    <sheet name="Dashboard Drivers" sheetId="18" r:id="rId8"/>
    <sheet name="Dashboard" sheetId="19" r:id="rId9"/>
    <sheet name="Simplified dashboard" sheetId="22" r:id="rId10"/>
    <sheet name="mtx_base_50 (7)" sheetId="12" state="hidden" r:id="rId11"/>
    <sheet name="mtx_base_50 (8)" sheetId="13" state="hidden" r:id="rId12"/>
    <sheet name="mtx_base_50 (9)" sheetId="14" state="hidden" r:id="rId13"/>
    <sheet name="mtx_base_50 (10)" sheetId="15" state="hidden" r:id="rId14"/>
    <sheet name="mtx_base_50 (11)" sheetId="16" state="hidden" r:id="rId15"/>
    <sheet name="mtx_base_50 (12)" sheetId="17" state="hidden" r:id="rId1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9" i="18" l="1"/>
  <c r="C369" i="18"/>
  <c r="B370" i="18"/>
  <c r="C370" i="18"/>
  <c r="B371" i="18"/>
  <c r="C371" i="18"/>
  <c r="B372" i="18"/>
  <c r="C372" i="18"/>
  <c r="B373" i="18"/>
  <c r="C373" i="18"/>
  <c r="B374" i="18"/>
  <c r="C374" i="18"/>
  <c r="B375" i="18"/>
  <c r="C375" i="18"/>
  <c r="B376" i="18"/>
  <c r="C376" i="18"/>
  <c r="B377" i="18"/>
  <c r="C377" i="18"/>
  <c r="B378" i="18"/>
  <c r="C378" i="18"/>
  <c r="B379" i="18"/>
  <c r="C379" i="18"/>
  <c r="B380" i="18"/>
  <c r="C380" i="18"/>
  <c r="B381" i="18"/>
  <c r="C381" i="18"/>
  <c r="B382" i="18"/>
  <c r="C382" i="18"/>
  <c r="B383" i="18"/>
  <c r="C383" i="18"/>
  <c r="B384" i="18"/>
  <c r="C384" i="18"/>
  <c r="B385" i="18"/>
  <c r="C385" i="18"/>
  <c r="B386" i="18"/>
  <c r="C386" i="18"/>
  <c r="B387" i="18"/>
  <c r="C387" i="18"/>
  <c r="B388" i="18"/>
  <c r="C388" i="18"/>
  <c r="B389" i="18"/>
  <c r="C389" i="18"/>
  <c r="B390" i="18"/>
  <c r="C390" i="18"/>
  <c r="B391" i="18"/>
  <c r="C391" i="18"/>
  <c r="B392" i="18"/>
  <c r="C392" i="18"/>
  <c r="C368" i="18"/>
  <c r="B368" i="18"/>
  <c r="B310" i="18"/>
  <c r="C310" i="18"/>
  <c r="B311" i="18"/>
  <c r="C311" i="18"/>
  <c r="B312" i="18"/>
  <c r="C312" i="18"/>
  <c r="B313" i="18"/>
  <c r="C313" i="18"/>
  <c r="B314" i="18"/>
  <c r="C314" i="18"/>
  <c r="B315" i="18"/>
  <c r="C315" i="18"/>
  <c r="B316" i="18"/>
  <c r="C316" i="18"/>
  <c r="B317" i="18"/>
  <c r="C317" i="18"/>
  <c r="B318" i="18"/>
  <c r="C318" i="18"/>
  <c r="B319" i="18"/>
  <c r="C319" i="18"/>
  <c r="B320" i="18"/>
  <c r="C320" i="18"/>
  <c r="B321" i="18"/>
  <c r="C321" i="18"/>
  <c r="B322" i="18"/>
  <c r="C322" i="18"/>
  <c r="B323" i="18"/>
  <c r="C323" i="18"/>
  <c r="B324" i="18"/>
  <c r="C324" i="18"/>
  <c r="B325" i="18"/>
  <c r="C325" i="18"/>
  <c r="B326" i="18"/>
  <c r="C326" i="18"/>
  <c r="B327" i="18"/>
  <c r="C327" i="18"/>
  <c r="B328" i="18"/>
  <c r="C328" i="18"/>
  <c r="B329" i="18"/>
  <c r="C329" i="18"/>
  <c r="B330" i="18"/>
  <c r="C330" i="18"/>
  <c r="B331" i="18"/>
  <c r="C331" i="18"/>
  <c r="B332" i="18"/>
  <c r="C332" i="18"/>
  <c r="B333" i="18"/>
  <c r="C333" i="18"/>
  <c r="B334" i="18"/>
  <c r="C334" i="18"/>
  <c r="B335" i="18"/>
  <c r="C335" i="18"/>
  <c r="B336" i="18"/>
  <c r="C336" i="18"/>
  <c r="B337" i="18"/>
  <c r="C337" i="18"/>
  <c r="B338" i="18"/>
  <c r="C338" i="18"/>
  <c r="B339" i="18"/>
  <c r="C339" i="18"/>
  <c r="B340" i="18"/>
  <c r="C340" i="18"/>
  <c r="B341" i="18"/>
  <c r="C341" i="18"/>
  <c r="B342" i="18"/>
  <c r="C342" i="18"/>
  <c r="B343" i="18"/>
  <c r="C343" i="18"/>
  <c r="B344" i="18"/>
  <c r="C344" i="18"/>
  <c r="B345" i="18"/>
  <c r="C345" i="18"/>
  <c r="B346" i="18"/>
  <c r="C346" i="18"/>
  <c r="B347" i="18"/>
  <c r="C347" i="18"/>
  <c r="B348" i="18"/>
  <c r="C348" i="18"/>
  <c r="B349" i="18"/>
  <c r="C349" i="18"/>
  <c r="B350" i="18"/>
  <c r="C350" i="18"/>
  <c r="B351" i="18"/>
  <c r="C351" i="18"/>
  <c r="B352" i="18"/>
  <c r="C352" i="18"/>
  <c r="B353" i="18"/>
  <c r="C353" i="18"/>
  <c r="B354" i="18"/>
  <c r="C354" i="18"/>
  <c r="B355" i="18"/>
  <c r="C355" i="18"/>
  <c r="B356" i="18"/>
  <c r="C356" i="18"/>
  <c r="B357" i="18"/>
  <c r="C357" i="18"/>
  <c r="B358" i="18"/>
  <c r="C358" i="18"/>
  <c r="C309" i="18"/>
  <c r="B309" i="18"/>
  <c r="B251" i="18"/>
  <c r="C251" i="18"/>
  <c r="B252" i="18"/>
  <c r="C252" i="18"/>
  <c r="B253" i="18"/>
  <c r="C253" i="18"/>
  <c r="B254" i="18"/>
  <c r="C254" i="18"/>
  <c r="B255" i="18"/>
  <c r="C255" i="18"/>
  <c r="B256" i="18"/>
  <c r="C256" i="18"/>
  <c r="B257" i="18"/>
  <c r="C257" i="18"/>
  <c r="B258" i="18"/>
  <c r="C258" i="18"/>
  <c r="B259" i="18"/>
  <c r="C259" i="18"/>
  <c r="B260" i="18"/>
  <c r="C260" i="18"/>
  <c r="B261" i="18"/>
  <c r="C261" i="18"/>
  <c r="B262" i="18"/>
  <c r="C262" i="18"/>
  <c r="B263" i="18"/>
  <c r="C263" i="18"/>
  <c r="B264" i="18"/>
  <c r="C264" i="18"/>
  <c r="B265" i="18"/>
  <c r="C265" i="18"/>
  <c r="B266" i="18"/>
  <c r="C266" i="18"/>
  <c r="B267" i="18"/>
  <c r="C267" i="18"/>
  <c r="B268" i="18"/>
  <c r="C268" i="18"/>
  <c r="B269" i="18"/>
  <c r="C269" i="18"/>
  <c r="B270" i="18"/>
  <c r="C270" i="18"/>
  <c r="B271" i="18"/>
  <c r="C271" i="18"/>
  <c r="B272" i="18"/>
  <c r="C272" i="18"/>
  <c r="B273" i="18"/>
  <c r="C273" i="18"/>
  <c r="B274" i="18"/>
  <c r="C274" i="18"/>
  <c r="C250" i="18"/>
  <c r="B250" i="18"/>
  <c r="B192" i="18"/>
  <c r="C192" i="18"/>
  <c r="B193" i="18"/>
  <c r="C193" i="18"/>
  <c r="B194" i="18"/>
  <c r="C194" i="18"/>
  <c r="B195" i="18"/>
  <c r="C195" i="18"/>
  <c r="B196" i="18"/>
  <c r="C196" i="18"/>
  <c r="B197" i="18"/>
  <c r="C197" i="18"/>
  <c r="B198" i="18"/>
  <c r="C198" i="18"/>
  <c r="B199" i="18"/>
  <c r="C199" i="18"/>
  <c r="B200" i="18"/>
  <c r="C200" i="18"/>
  <c r="B201" i="18"/>
  <c r="C201" i="18"/>
  <c r="B202" i="18"/>
  <c r="C202" i="18"/>
  <c r="B203" i="18"/>
  <c r="C203" i="18"/>
  <c r="B204" i="18"/>
  <c r="C204" i="18"/>
  <c r="B205" i="18"/>
  <c r="C205" i="18"/>
  <c r="B206" i="18"/>
  <c r="C206" i="18"/>
  <c r="B207" i="18"/>
  <c r="C207" i="18"/>
  <c r="B208" i="18"/>
  <c r="C208" i="18"/>
  <c r="B209" i="18"/>
  <c r="C209" i="18"/>
  <c r="B210" i="18"/>
  <c r="C210" i="18"/>
  <c r="B211" i="18"/>
  <c r="C211" i="18"/>
  <c r="B212" i="18"/>
  <c r="C212" i="18"/>
  <c r="B213" i="18"/>
  <c r="C213" i="18"/>
  <c r="B214" i="18"/>
  <c r="C214" i="18"/>
  <c r="B215" i="18"/>
  <c r="C215" i="18"/>
  <c r="C191" i="18"/>
  <c r="B191" i="18"/>
  <c r="B132" i="18"/>
  <c r="C132" i="18"/>
  <c r="B133" i="18"/>
  <c r="C133" i="18"/>
  <c r="B134" i="18"/>
  <c r="C134" i="18"/>
  <c r="B135" i="18"/>
  <c r="C135" i="18"/>
  <c r="B136" i="18"/>
  <c r="C136" i="18"/>
  <c r="B137" i="18"/>
  <c r="C137" i="18"/>
  <c r="B138" i="18"/>
  <c r="C138" i="18"/>
  <c r="B139" i="18"/>
  <c r="C139" i="18"/>
  <c r="B140" i="18"/>
  <c r="C140" i="18"/>
  <c r="B141" i="18"/>
  <c r="C141" i="18"/>
  <c r="B142" i="18"/>
  <c r="C142" i="18"/>
  <c r="B143" i="18"/>
  <c r="C143" i="18"/>
  <c r="B144" i="18"/>
  <c r="C144" i="18"/>
  <c r="B145" i="18"/>
  <c r="C145" i="18"/>
  <c r="B146" i="18"/>
  <c r="C146" i="18"/>
  <c r="B147" i="18"/>
  <c r="C147" i="18"/>
  <c r="B148" i="18"/>
  <c r="C148" i="18"/>
  <c r="B149" i="18"/>
  <c r="C149" i="18"/>
  <c r="B150" i="18"/>
  <c r="C150" i="18"/>
  <c r="B151" i="18"/>
  <c r="C151" i="18"/>
  <c r="B152" i="18"/>
  <c r="C152" i="18"/>
  <c r="B153" i="18"/>
  <c r="C153" i="18"/>
  <c r="B154" i="18"/>
  <c r="C154" i="18"/>
  <c r="B155" i="18"/>
  <c r="C155" i="18"/>
  <c r="C131" i="18"/>
  <c r="B131" i="18"/>
  <c r="B71" i="18"/>
  <c r="C71" i="18"/>
  <c r="B72" i="18"/>
  <c r="C72" i="18"/>
  <c r="B73" i="18"/>
  <c r="C73" i="18"/>
  <c r="B74" i="18"/>
  <c r="C74" i="18"/>
  <c r="B75" i="18"/>
  <c r="C75" i="18"/>
  <c r="B76" i="18"/>
  <c r="C76" i="18"/>
  <c r="B77" i="18"/>
  <c r="C77" i="18"/>
  <c r="B78" i="18"/>
  <c r="C78" i="18"/>
  <c r="B79" i="18"/>
  <c r="C79" i="18"/>
  <c r="B80" i="18"/>
  <c r="C80" i="18"/>
  <c r="B81" i="18"/>
  <c r="C81" i="18"/>
  <c r="B82" i="18"/>
  <c r="C82" i="18"/>
  <c r="B83" i="18"/>
  <c r="C83" i="18"/>
  <c r="B84" i="18"/>
  <c r="C84" i="18"/>
  <c r="B85" i="18"/>
  <c r="C85" i="18"/>
  <c r="B86" i="18"/>
  <c r="C86" i="18"/>
  <c r="B87" i="18"/>
  <c r="C87" i="18"/>
  <c r="B88" i="18"/>
  <c r="C88" i="18"/>
  <c r="B89" i="18"/>
  <c r="C89" i="18"/>
  <c r="B90" i="18"/>
  <c r="C90" i="18"/>
  <c r="B91" i="18"/>
  <c r="C91" i="18"/>
  <c r="B92" i="18"/>
  <c r="C92" i="18"/>
  <c r="B93" i="18"/>
  <c r="C93" i="18"/>
  <c r="B94" i="18"/>
  <c r="C94" i="18"/>
  <c r="C70" i="18"/>
  <c r="B70" i="18"/>
  <c r="B10" i="18"/>
  <c r="C10" i="18"/>
  <c r="B11" i="18"/>
  <c r="C11" i="18"/>
  <c r="B12" i="18"/>
  <c r="C12" i="18"/>
  <c r="B13" i="18"/>
  <c r="C13" i="18"/>
  <c r="B14" i="18"/>
  <c r="C14" i="18"/>
  <c r="B15" i="18"/>
  <c r="C15" i="18"/>
  <c r="B16" i="18"/>
  <c r="C16" i="18"/>
  <c r="B17" i="18"/>
  <c r="C17" i="18"/>
  <c r="B18" i="18"/>
  <c r="C18" i="18"/>
  <c r="B19" i="18"/>
  <c r="C19" i="18"/>
  <c r="B20" i="18"/>
  <c r="C20" i="18"/>
  <c r="B21" i="18"/>
  <c r="C21" i="18"/>
  <c r="B22" i="18"/>
  <c r="C22" i="18"/>
  <c r="B23" i="18"/>
  <c r="C23" i="18"/>
  <c r="B24" i="18"/>
  <c r="C24" i="18"/>
  <c r="B25" i="18"/>
  <c r="C25" i="18"/>
  <c r="B26" i="18"/>
  <c r="C26" i="18"/>
  <c r="B27" i="18"/>
  <c r="C27" i="18"/>
  <c r="B28" i="18"/>
  <c r="C28" i="18"/>
  <c r="B29" i="18"/>
  <c r="C29" i="18"/>
  <c r="B30" i="18"/>
  <c r="C30" i="18"/>
  <c r="B31" i="18"/>
  <c r="C31" i="18"/>
  <c r="B32" i="18"/>
  <c r="C32" i="18"/>
  <c r="B33" i="18"/>
  <c r="C33" i="18"/>
  <c r="C9" i="18"/>
  <c r="B9" i="18"/>
  <c r="I1" i="22"/>
  <c r="H1" i="22"/>
  <c r="G1" i="22"/>
  <c r="F1" i="22"/>
  <c r="E1" i="22"/>
  <c r="D1" i="22"/>
  <c r="C1" i="22"/>
  <c r="C394" i="18" l="1"/>
  <c r="C395" i="18"/>
  <c r="C396" i="18"/>
  <c r="C397" i="18"/>
  <c r="C398" i="18"/>
  <c r="C399" i="18"/>
  <c r="C400" i="18"/>
  <c r="C401" i="18"/>
  <c r="C402" i="18"/>
  <c r="C403" i="18"/>
  <c r="C404" i="18"/>
  <c r="C405" i="18"/>
  <c r="C406" i="18"/>
  <c r="C407" i="18"/>
  <c r="C408" i="18"/>
  <c r="C409" i="18"/>
  <c r="C410" i="18"/>
  <c r="C411" i="18"/>
  <c r="C412" i="18"/>
  <c r="C413" i="18"/>
  <c r="C414" i="18"/>
  <c r="C415" i="18"/>
  <c r="C416" i="18"/>
  <c r="C417" i="18"/>
  <c r="C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393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275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1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C156" i="18"/>
  <c r="B156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95" i="18"/>
  <c r="B34" i="18"/>
  <c r="C34" i="18"/>
  <c r="B35" i="18"/>
  <c r="C35" i="18"/>
  <c r="B36" i="18"/>
  <c r="C36" i="18"/>
  <c r="B37" i="18"/>
  <c r="C37" i="18"/>
  <c r="B38" i="18"/>
  <c r="C38" i="18"/>
  <c r="B39" i="18"/>
  <c r="C39" i="18"/>
  <c r="B40" i="18"/>
  <c r="C40" i="18"/>
  <c r="B41" i="18"/>
  <c r="C41" i="18"/>
  <c r="B42" i="18"/>
  <c r="C42" i="18"/>
  <c r="B43" i="18"/>
  <c r="C43" i="18"/>
  <c r="B44" i="18"/>
  <c r="C44" i="18"/>
  <c r="B45" i="18"/>
  <c r="C45" i="18"/>
  <c r="B46" i="18"/>
  <c r="C46" i="18"/>
  <c r="B47" i="18"/>
  <c r="C47" i="18"/>
  <c r="B48" i="18"/>
  <c r="C48" i="18"/>
  <c r="B49" i="18"/>
  <c r="C49" i="18"/>
  <c r="B50" i="18"/>
  <c r="C50" i="18"/>
  <c r="B51" i="18"/>
  <c r="C51" i="18"/>
  <c r="B52" i="18"/>
  <c r="C52" i="18"/>
  <c r="B53" i="18"/>
  <c r="C53" i="18"/>
  <c r="B54" i="18"/>
  <c r="C54" i="18"/>
  <c r="B55" i="18"/>
  <c r="C55" i="18"/>
  <c r="B56" i="18"/>
  <c r="C56" i="18"/>
  <c r="B57" i="18"/>
  <c r="C57" i="18"/>
  <c r="B58" i="18"/>
  <c r="C58" i="18"/>
  <c r="C72" i="20" l="1"/>
  <c r="E38" i="20" s="1"/>
  <c r="B72" i="20"/>
  <c r="D65" i="20" s="1"/>
  <c r="A401" i="18"/>
  <c r="A413" i="18"/>
  <c r="A350" i="18"/>
  <c r="A229" i="18"/>
  <c r="A180" i="18"/>
  <c r="A10" i="18"/>
  <c r="B3" i="19" s="1"/>
  <c r="A11" i="18"/>
  <c r="A12" i="18"/>
  <c r="B5" i="19" s="1"/>
  <c r="A13" i="18"/>
  <c r="A14" i="18"/>
  <c r="A15" i="18"/>
  <c r="A16" i="18"/>
  <c r="A17" i="18"/>
  <c r="A18" i="18"/>
  <c r="B11" i="19" s="1"/>
  <c r="A19" i="18"/>
  <c r="A20" i="18"/>
  <c r="A21" i="18"/>
  <c r="A22" i="18"/>
  <c r="B15" i="19" s="1"/>
  <c r="A23" i="18"/>
  <c r="A24" i="18"/>
  <c r="A25" i="18"/>
  <c r="A26" i="18"/>
  <c r="B19" i="19" s="1"/>
  <c r="A27" i="18"/>
  <c r="A28" i="18"/>
  <c r="A29" i="18"/>
  <c r="A30" i="18"/>
  <c r="A31" i="18"/>
  <c r="A32" i="18"/>
  <c r="A33" i="18"/>
  <c r="A34" i="18"/>
  <c r="A334" i="18" s="1"/>
  <c r="A35" i="18"/>
  <c r="A394" i="18" s="1"/>
  <c r="A36" i="18"/>
  <c r="A395" i="18" s="1"/>
  <c r="A37" i="18"/>
  <c r="A396" i="18" s="1"/>
  <c r="A38" i="18"/>
  <c r="A99" i="18" s="1"/>
  <c r="A39" i="18"/>
  <c r="A161" i="18" s="1"/>
  <c r="A40" i="18"/>
  <c r="A222" i="18" s="1"/>
  <c r="A41" i="18"/>
  <c r="A282" i="18" s="1"/>
  <c r="A42" i="18"/>
  <c r="A342" i="18" s="1"/>
  <c r="A43" i="18"/>
  <c r="A402" i="18" s="1"/>
  <c r="A44" i="18"/>
  <c r="A403" i="18" s="1"/>
  <c r="A45" i="18"/>
  <c r="A404" i="18" s="1"/>
  <c r="A46" i="18"/>
  <c r="A107" i="18" s="1"/>
  <c r="A47" i="18"/>
  <c r="A108" i="18" s="1"/>
  <c r="A48" i="18"/>
  <c r="A289" i="18" s="1"/>
  <c r="A49" i="18"/>
  <c r="A408" i="18" s="1"/>
  <c r="A50" i="18"/>
  <c r="A409" i="18" s="1"/>
  <c r="A51" i="18"/>
  <c r="A233" i="18" s="1"/>
  <c r="A52" i="18"/>
  <c r="B45" i="19" s="1"/>
  <c r="A53" i="18"/>
  <c r="B46" i="19" s="1"/>
  <c r="A54" i="18"/>
  <c r="A354" i="18" s="1"/>
  <c r="A55" i="18"/>
  <c r="B48" i="19" s="1"/>
  <c r="A56" i="18"/>
  <c r="A297" i="18" s="1"/>
  <c r="A57" i="18"/>
  <c r="B50" i="19" s="1"/>
  <c r="A58" i="18"/>
  <c r="A119" i="18" s="1"/>
  <c r="A9" i="18"/>
  <c r="I1" i="19"/>
  <c r="H1" i="19"/>
  <c r="G1" i="19"/>
  <c r="F1" i="19"/>
  <c r="E1" i="19"/>
  <c r="D1" i="19"/>
  <c r="C1" i="19"/>
  <c r="B27" i="19"/>
  <c r="B28" i="19"/>
  <c r="B31" i="19"/>
  <c r="B44" i="19"/>
  <c r="B47" i="19"/>
  <c r="D68" i="20" l="1"/>
  <c r="B74" i="20"/>
  <c r="B73" i="20"/>
  <c r="E61" i="20"/>
  <c r="C73" i="20"/>
  <c r="C74" i="20"/>
  <c r="A351" i="18"/>
  <c r="A179" i="18"/>
  <c r="A174" i="18"/>
  <c r="A240" i="18"/>
  <c r="B29" i="19"/>
  <c r="A239" i="18"/>
  <c r="A352" i="18"/>
  <c r="A237" i="18"/>
  <c r="B43" i="19"/>
  <c r="B32" i="19"/>
  <c r="A173" i="18"/>
  <c r="A236" i="18"/>
  <c r="A288" i="18"/>
  <c r="A349" i="18"/>
  <c r="A238" i="18"/>
  <c r="A406" i="18"/>
  <c r="B40" i="19"/>
  <c r="A295" i="18"/>
  <c r="B41" i="19"/>
  <c r="A172" i="18"/>
  <c r="A232" i="18"/>
  <c r="A281" i="18"/>
  <c r="A348" i="18"/>
  <c r="A221" i="18"/>
  <c r="A296" i="18"/>
  <c r="A171" i="18"/>
  <c r="A231" i="18"/>
  <c r="A358" i="18"/>
  <c r="A415" i="18"/>
  <c r="A356" i="18"/>
  <c r="A407" i="18"/>
  <c r="A178" i="18"/>
  <c r="B39" i="19"/>
  <c r="B33" i="19"/>
  <c r="A115" i="18"/>
  <c r="A170" i="18"/>
  <c r="A230" i="18"/>
  <c r="A357" i="18"/>
  <c r="A414" i="18"/>
  <c r="A106" i="18"/>
  <c r="A98" i="18"/>
  <c r="A113" i="18"/>
  <c r="A412" i="18"/>
  <c r="A111" i="18"/>
  <c r="A411" i="18"/>
  <c r="B51" i="19"/>
  <c r="B36" i="19"/>
  <c r="B42" i="19"/>
  <c r="A118" i="18"/>
  <c r="A110" i="18"/>
  <c r="A177" i="18"/>
  <c r="A169" i="18"/>
  <c r="A235" i="18"/>
  <c r="A299" i="18"/>
  <c r="A291" i="18"/>
  <c r="A355" i="18"/>
  <c r="A347" i="18"/>
  <c r="A410" i="18"/>
  <c r="B30" i="19"/>
  <c r="A114" i="18"/>
  <c r="A112" i="18"/>
  <c r="A293" i="18"/>
  <c r="A393" i="18"/>
  <c r="B37" i="19"/>
  <c r="B35" i="19"/>
  <c r="A117" i="18"/>
  <c r="A109" i="18"/>
  <c r="A176" i="18"/>
  <c r="A168" i="18"/>
  <c r="A234" i="18"/>
  <c r="A298" i="18"/>
  <c r="A290" i="18"/>
  <c r="A417" i="18"/>
  <c r="A294" i="18"/>
  <c r="A292" i="18"/>
  <c r="B38" i="19"/>
  <c r="A116" i="18"/>
  <c r="A175" i="18"/>
  <c r="A160" i="18"/>
  <c r="A353" i="18"/>
  <c r="A416" i="18"/>
  <c r="E34" i="20"/>
  <c r="E58" i="20"/>
  <c r="D38" i="20"/>
  <c r="F38" i="20" s="1"/>
  <c r="E62" i="20"/>
  <c r="E41" i="20"/>
  <c r="E45" i="20"/>
  <c r="E28" i="20"/>
  <c r="E48" i="20"/>
  <c r="E31" i="20"/>
  <c r="D55" i="20"/>
  <c r="E25" i="20"/>
  <c r="E32" i="20"/>
  <c r="E55" i="20"/>
  <c r="E19" i="20"/>
  <c r="E35" i="20"/>
  <c r="E51" i="20"/>
  <c r="E65" i="20"/>
  <c r="F65" i="20" s="1"/>
  <c r="E21" i="20"/>
  <c r="E36" i="20"/>
  <c r="E52" i="20"/>
  <c r="E68" i="20"/>
  <c r="D28" i="20"/>
  <c r="D58" i="20"/>
  <c r="F58" i="20" s="1"/>
  <c r="D45" i="20"/>
  <c r="B14" i="19"/>
  <c r="B14" i="22"/>
  <c r="B16" i="19"/>
  <c r="B16" i="22"/>
  <c r="A76" i="18"/>
  <c r="B7" i="22"/>
  <c r="A388" i="18"/>
  <c r="B22" i="22"/>
  <c r="B24" i="19"/>
  <c r="B24" i="22"/>
  <c r="A271" i="18"/>
  <c r="B23" i="22"/>
  <c r="A381" i="18"/>
  <c r="B15" i="22"/>
  <c r="A255" i="18"/>
  <c r="B6" i="22"/>
  <c r="A328" i="18"/>
  <c r="B21" i="22"/>
  <c r="A320" i="18"/>
  <c r="B13" i="22"/>
  <c r="A312" i="18"/>
  <c r="B4" i="22"/>
  <c r="B2" i="19"/>
  <c r="B10" i="22"/>
  <c r="A268" i="18"/>
  <c r="B20" i="22"/>
  <c r="A260" i="18"/>
  <c r="B12" i="22"/>
  <c r="A252" i="18"/>
  <c r="B3" i="22"/>
  <c r="A208" i="18"/>
  <c r="B19" i="22"/>
  <c r="A200" i="18"/>
  <c r="B11" i="22"/>
  <c r="A192" i="18"/>
  <c r="B2" i="22"/>
  <c r="A155" i="18"/>
  <c r="B26" i="22"/>
  <c r="B18" i="19"/>
  <c r="B18" i="22"/>
  <c r="A139" i="18"/>
  <c r="B9" i="22"/>
  <c r="A372" i="18"/>
  <c r="B5" i="22"/>
  <c r="A93" i="18"/>
  <c r="B25" i="22"/>
  <c r="B17" i="19"/>
  <c r="B17" i="22"/>
  <c r="A77" i="18"/>
  <c r="B8" i="22"/>
  <c r="A105" i="18"/>
  <c r="A97" i="18"/>
  <c r="A167" i="18"/>
  <c r="A159" i="18"/>
  <c r="A228" i="18"/>
  <c r="A220" i="18"/>
  <c r="A280" i="18"/>
  <c r="A340" i="18"/>
  <c r="A400" i="18"/>
  <c r="A104" i="18"/>
  <c r="A96" i="18"/>
  <c r="A166" i="18"/>
  <c r="A158" i="18"/>
  <c r="A227" i="18"/>
  <c r="A219" i="18"/>
  <c r="A287" i="18"/>
  <c r="A279" i="18"/>
  <c r="A339" i="18"/>
  <c r="A399" i="18"/>
  <c r="A103" i="18"/>
  <c r="A95" i="18"/>
  <c r="A165" i="18"/>
  <c r="A157" i="18"/>
  <c r="A226" i="18"/>
  <c r="A218" i="18"/>
  <c r="A286" i="18"/>
  <c r="A278" i="18"/>
  <c r="A346" i="18"/>
  <c r="A338" i="18"/>
  <c r="A398" i="18"/>
  <c r="A102" i="18"/>
  <c r="A164" i="18"/>
  <c r="A156" i="18"/>
  <c r="A225" i="18"/>
  <c r="A217" i="18"/>
  <c r="A285" i="18"/>
  <c r="A277" i="18"/>
  <c r="A345" i="18"/>
  <c r="A337" i="18"/>
  <c r="A405" i="18"/>
  <c r="A397" i="18"/>
  <c r="A101" i="18"/>
  <c r="A163" i="18"/>
  <c r="A224" i="18"/>
  <c r="A216" i="18"/>
  <c r="A284" i="18"/>
  <c r="A276" i="18"/>
  <c r="A344" i="18"/>
  <c r="A336" i="18"/>
  <c r="A100" i="18"/>
  <c r="A162" i="18"/>
  <c r="A223" i="18"/>
  <c r="A283" i="18"/>
  <c r="A275" i="18"/>
  <c r="A343" i="18"/>
  <c r="A335" i="18"/>
  <c r="A341" i="18"/>
  <c r="B34" i="19"/>
  <c r="B6" i="19"/>
  <c r="B21" i="19"/>
  <c r="B22" i="19"/>
  <c r="B13" i="19"/>
  <c r="B10" i="19"/>
  <c r="A371" i="18"/>
  <c r="A203" i="18"/>
  <c r="A259" i="18"/>
  <c r="A311" i="18"/>
  <c r="B9" i="19"/>
  <c r="B26" i="19"/>
  <c r="A134" i="18"/>
  <c r="A199" i="18"/>
  <c r="A258" i="18"/>
  <c r="A310" i="18"/>
  <c r="A198" i="18"/>
  <c r="A251" i="18"/>
  <c r="B25" i="19"/>
  <c r="A215" i="18"/>
  <c r="A195" i="18"/>
  <c r="A391" i="18"/>
  <c r="A154" i="18"/>
  <c r="A214" i="18"/>
  <c r="A327" i="18"/>
  <c r="A387" i="18"/>
  <c r="A150" i="18"/>
  <c r="A211" i="18"/>
  <c r="A274" i="18"/>
  <c r="A326" i="18"/>
  <c r="A383" i="18"/>
  <c r="A138" i="18"/>
  <c r="A146" i="18"/>
  <c r="A207" i="18"/>
  <c r="A267" i="18"/>
  <c r="A319" i="18"/>
  <c r="A379" i="18"/>
  <c r="B4" i="18"/>
  <c r="A142" i="18"/>
  <c r="A206" i="18"/>
  <c r="A266" i="18"/>
  <c r="A318" i="18"/>
  <c r="A375" i="18"/>
  <c r="D25" i="20"/>
  <c r="F25" i="20" s="1"/>
  <c r="D52" i="20"/>
  <c r="F52" i="20" s="1"/>
  <c r="D22" i="20"/>
  <c r="D29" i="20"/>
  <c r="D39" i="20"/>
  <c r="D42" i="20"/>
  <c r="D49" i="20"/>
  <c r="D56" i="20"/>
  <c r="D59" i="20"/>
  <c r="D32" i="20"/>
  <c r="F32" i="20" s="1"/>
  <c r="D19" i="20"/>
  <c r="E22" i="20"/>
  <c r="E29" i="20"/>
  <c r="D36" i="20"/>
  <c r="E39" i="20"/>
  <c r="E42" i="20"/>
  <c r="D46" i="20"/>
  <c r="E49" i="20"/>
  <c r="D53" i="20"/>
  <c r="E56" i="20"/>
  <c r="E59" i="20"/>
  <c r="D63" i="20"/>
  <c r="D66" i="20"/>
  <c r="D23" i="20"/>
  <c r="D26" i="20"/>
  <c r="D33" i="20"/>
  <c r="D40" i="20"/>
  <c r="D43" i="20"/>
  <c r="E46" i="20"/>
  <c r="E53" i="20"/>
  <c r="D60" i="20"/>
  <c r="E63" i="20"/>
  <c r="E66" i="20"/>
  <c r="D20" i="20"/>
  <c r="E23" i="20"/>
  <c r="E26" i="20"/>
  <c r="D30" i="20"/>
  <c r="E33" i="20"/>
  <c r="D37" i="20"/>
  <c r="E40" i="20"/>
  <c r="E43" i="20"/>
  <c r="D47" i="20"/>
  <c r="D50" i="20"/>
  <c r="D57" i="20"/>
  <c r="E60" i="20"/>
  <c r="D64" i="20"/>
  <c r="D67" i="20"/>
  <c r="D35" i="20"/>
  <c r="D62" i="20"/>
  <c r="F62" i="20" s="1"/>
  <c r="E20" i="20"/>
  <c r="D24" i="20"/>
  <c r="D27" i="20"/>
  <c r="E30" i="20"/>
  <c r="E37" i="20"/>
  <c r="D44" i="20"/>
  <c r="E47" i="20"/>
  <c r="E50" i="20"/>
  <c r="D54" i="20"/>
  <c r="E57" i="20"/>
  <c r="D61" i="20"/>
  <c r="F61" i="20" s="1"/>
  <c r="E64" i="20"/>
  <c r="E67" i="20"/>
  <c r="D21" i="20"/>
  <c r="F21" i="20" s="1"/>
  <c r="E24" i="20"/>
  <c r="E27" i="20"/>
  <c r="D31" i="20"/>
  <c r="D34" i="20"/>
  <c r="D41" i="20"/>
  <c r="F41" i="20" s="1"/>
  <c r="E44" i="20"/>
  <c r="D48" i="20"/>
  <c r="D51" i="20"/>
  <c r="E54" i="20"/>
  <c r="A370" i="18"/>
  <c r="B12" i="19"/>
  <c r="B8" i="19"/>
  <c r="A90" i="18"/>
  <c r="A82" i="18"/>
  <c r="A74" i="18"/>
  <c r="A152" i="18"/>
  <c r="A144" i="18"/>
  <c r="A136" i="18"/>
  <c r="A213" i="18"/>
  <c r="A205" i="18"/>
  <c r="A197" i="18"/>
  <c r="A273" i="18"/>
  <c r="A265" i="18"/>
  <c r="A257" i="18"/>
  <c r="A333" i="18"/>
  <c r="A325" i="18"/>
  <c r="A317" i="18"/>
  <c r="A385" i="18"/>
  <c r="A377" i="18"/>
  <c r="A369" i="18"/>
  <c r="A91" i="18"/>
  <c r="A83" i="18"/>
  <c r="A75" i="18"/>
  <c r="A153" i="18"/>
  <c r="A145" i="18"/>
  <c r="A137" i="18"/>
  <c r="A386" i="18"/>
  <c r="A378" i="18"/>
  <c r="A89" i="18"/>
  <c r="A81" i="18"/>
  <c r="A73" i="18"/>
  <c r="A151" i="18"/>
  <c r="A143" i="18"/>
  <c r="A135" i="18"/>
  <c r="A212" i="18"/>
  <c r="A204" i="18"/>
  <c r="A196" i="18"/>
  <c r="A272" i="18"/>
  <c r="A264" i="18"/>
  <c r="A256" i="18"/>
  <c r="A332" i="18"/>
  <c r="A324" i="18"/>
  <c r="A316" i="18"/>
  <c r="A392" i="18"/>
  <c r="A384" i="18"/>
  <c r="A376" i="18"/>
  <c r="B23" i="19"/>
  <c r="B7" i="19"/>
  <c r="A87" i="18"/>
  <c r="A79" i="18"/>
  <c r="A71" i="18"/>
  <c r="A149" i="18"/>
  <c r="A141" i="18"/>
  <c r="A133" i="18"/>
  <c r="A210" i="18"/>
  <c r="A202" i="18"/>
  <c r="A194" i="18"/>
  <c r="A270" i="18"/>
  <c r="A262" i="18"/>
  <c r="A254" i="18"/>
  <c r="A330" i="18"/>
  <c r="A322" i="18"/>
  <c r="A314" i="18"/>
  <c r="A390" i="18"/>
  <c r="A382" i="18"/>
  <c r="A374" i="18"/>
  <c r="A92" i="18"/>
  <c r="A84" i="18"/>
  <c r="A88" i="18"/>
  <c r="A72" i="18"/>
  <c r="A263" i="18"/>
  <c r="A331" i="18"/>
  <c r="A315" i="18"/>
  <c r="B20" i="19"/>
  <c r="A94" i="18"/>
  <c r="A86" i="18"/>
  <c r="A78" i="18"/>
  <c r="A148" i="18"/>
  <c r="A140" i="18"/>
  <c r="A132" i="18"/>
  <c r="A209" i="18"/>
  <c r="A201" i="18"/>
  <c r="A193" i="18"/>
  <c r="A269" i="18"/>
  <c r="A261" i="18"/>
  <c r="A253" i="18"/>
  <c r="A329" i="18"/>
  <c r="A321" i="18"/>
  <c r="A313" i="18"/>
  <c r="A389" i="18"/>
  <c r="A373" i="18"/>
  <c r="A80" i="18"/>
  <c r="A323" i="18"/>
  <c r="B4" i="19"/>
  <c r="A85" i="18"/>
  <c r="A147" i="18"/>
  <c r="A380" i="18"/>
  <c r="A131" i="18"/>
  <c r="A368" i="18"/>
  <c r="A191" i="18"/>
  <c r="A250" i="18"/>
  <c r="A70" i="18"/>
  <c r="A309" i="18"/>
  <c r="B49" i="19"/>
  <c r="C363" i="18"/>
  <c r="B363" i="18"/>
  <c r="C304" i="18"/>
  <c r="B304" i="18"/>
  <c r="C245" i="18"/>
  <c r="B245" i="18"/>
  <c r="C186" i="18"/>
  <c r="B186" i="18"/>
  <c r="C126" i="18"/>
  <c r="B126" i="18"/>
  <c r="C65" i="18"/>
  <c r="B65" i="18"/>
  <c r="C4" i="18"/>
  <c r="C72" i="17"/>
  <c r="C74" i="17" s="1"/>
  <c r="B72" i="17"/>
  <c r="D68" i="17" s="1"/>
  <c r="F68" i="17" s="1"/>
  <c r="E68" i="17"/>
  <c r="E66" i="17"/>
  <c r="D63" i="17"/>
  <c r="E61" i="17"/>
  <c r="E60" i="17"/>
  <c r="E58" i="17"/>
  <c r="D55" i="17"/>
  <c r="E53" i="17"/>
  <c r="E52" i="17"/>
  <c r="E50" i="17"/>
  <c r="D47" i="17"/>
  <c r="E45" i="17"/>
  <c r="D45" i="17"/>
  <c r="F45" i="17" s="1"/>
  <c r="E44" i="17"/>
  <c r="E42" i="17"/>
  <c r="E39" i="17"/>
  <c r="D39" i="17"/>
  <c r="F39" i="17" s="1"/>
  <c r="E37" i="17"/>
  <c r="D37" i="17"/>
  <c r="F37" i="17" s="1"/>
  <c r="E36" i="17"/>
  <c r="E34" i="17"/>
  <c r="E33" i="17"/>
  <c r="E31" i="17"/>
  <c r="D31" i="17"/>
  <c r="F31" i="17" s="1"/>
  <c r="E29" i="17"/>
  <c r="D29" i="17"/>
  <c r="F29" i="17" s="1"/>
  <c r="E28" i="17"/>
  <c r="E26" i="17"/>
  <c r="E25" i="17"/>
  <c r="E23" i="17"/>
  <c r="D23" i="17"/>
  <c r="F23" i="17" s="1"/>
  <c r="E21" i="17"/>
  <c r="D21" i="17"/>
  <c r="F21" i="17" s="1"/>
  <c r="E20" i="17"/>
  <c r="B73" i="16"/>
  <c r="C72" i="16"/>
  <c r="C74" i="16" s="1"/>
  <c r="B72" i="16"/>
  <c r="D68" i="16" s="1"/>
  <c r="F68" i="16" s="1"/>
  <c r="E68" i="16"/>
  <c r="D67" i="16"/>
  <c r="E66" i="16"/>
  <c r="D66" i="16"/>
  <c r="F66" i="16" s="1"/>
  <c r="E64" i="16"/>
  <c r="D64" i="16"/>
  <c r="F64" i="16" s="1"/>
  <c r="E63" i="16"/>
  <c r="D63" i="16"/>
  <c r="F63" i="16" s="1"/>
  <c r="F61" i="16"/>
  <c r="E61" i="16"/>
  <c r="D61" i="16"/>
  <c r="E60" i="16"/>
  <c r="D59" i="16"/>
  <c r="E58" i="16"/>
  <c r="D58" i="16"/>
  <c r="F58" i="16" s="1"/>
  <c r="E56" i="16"/>
  <c r="D56" i="16"/>
  <c r="F56" i="16" s="1"/>
  <c r="E55" i="16"/>
  <c r="D55" i="16"/>
  <c r="F55" i="16" s="1"/>
  <c r="F53" i="16"/>
  <c r="E53" i="16"/>
  <c r="D53" i="16"/>
  <c r="E52" i="16"/>
  <c r="E51" i="16"/>
  <c r="D51" i="16"/>
  <c r="F51" i="16" s="1"/>
  <c r="E50" i="16"/>
  <c r="D50" i="16"/>
  <c r="F50" i="16" s="1"/>
  <c r="E48" i="16"/>
  <c r="F48" i="16" s="1"/>
  <c r="D48" i="16"/>
  <c r="E47" i="16"/>
  <c r="D47" i="16"/>
  <c r="F47" i="16" s="1"/>
  <c r="D46" i="16"/>
  <c r="F45" i="16"/>
  <c r="E45" i="16"/>
  <c r="D45" i="16"/>
  <c r="E44" i="16"/>
  <c r="E43" i="16"/>
  <c r="D43" i="16"/>
  <c r="F43" i="16" s="1"/>
  <c r="E42" i="16"/>
  <c r="D42" i="16"/>
  <c r="F42" i="16" s="1"/>
  <c r="E40" i="16"/>
  <c r="F40" i="16" s="1"/>
  <c r="D40" i="16"/>
  <c r="E39" i="16"/>
  <c r="D39" i="16"/>
  <c r="F39" i="16" s="1"/>
  <c r="D38" i="16"/>
  <c r="F37" i="16"/>
  <c r="E37" i="16"/>
  <c r="D37" i="16"/>
  <c r="E36" i="16"/>
  <c r="E35" i="16"/>
  <c r="D35" i="16"/>
  <c r="F35" i="16" s="1"/>
  <c r="E34" i="16"/>
  <c r="D34" i="16"/>
  <c r="F34" i="16" s="1"/>
  <c r="E32" i="16"/>
  <c r="F32" i="16" s="1"/>
  <c r="D32" i="16"/>
  <c r="E31" i="16"/>
  <c r="D31" i="16"/>
  <c r="F31" i="16" s="1"/>
  <c r="D30" i="16"/>
  <c r="F29" i="16"/>
  <c r="E29" i="16"/>
  <c r="D29" i="16"/>
  <c r="E28" i="16"/>
  <c r="E27" i="16"/>
  <c r="D27" i="16"/>
  <c r="F27" i="16" s="1"/>
  <c r="E26" i="16"/>
  <c r="D26" i="16"/>
  <c r="F26" i="16" s="1"/>
  <c r="E24" i="16"/>
  <c r="F24" i="16" s="1"/>
  <c r="D24" i="16"/>
  <c r="E23" i="16"/>
  <c r="D23" i="16"/>
  <c r="F23" i="16" s="1"/>
  <c r="D22" i="16"/>
  <c r="F21" i="16"/>
  <c r="E21" i="16"/>
  <c r="D21" i="16"/>
  <c r="E20" i="16"/>
  <c r="E19" i="16"/>
  <c r="D19" i="16"/>
  <c r="F19" i="16" s="1"/>
  <c r="C72" i="15"/>
  <c r="C74" i="15" s="1"/>
  <c r="B72" i="15"/>
  <c r="D68" i="15" s="1"/>
  <c r="F68" i="15" s="1"/>
  <c r="E68" i="15"/>
  <c r="E66" i="15"/>
  <c r="E61" i="15"/>
  <c r="E60" i="15"/>
  <c r="E58" i="15"/>
  <c r="E53" i="15"/>
  <c r="E52" i="15"/>
  <c r="E50" i="15"/>
  <c r="E45" i="15"/>
  <c r="E44" i="15"/>
  <c r="E42" i="15"/>
  <c r="E37" i="15"/>
  <c r="E36" i="15"/>
  <c r="E34" i="15"/>
  <c r="E29" i="15"/>
  <c r="E28" i="15"/>
  <c r="E26" i="15"/>
  <c r="D23" i="15"/>
  <c r="E21" i="15"/>
  <c r="E20" i="15"/>
  <c r="C72" i="14"/>
  <c r="C74" i="14" s="1"/>
  <c r="B72" i="14"/>
  <c r="D68" i="14" s="1"/>
  <c r="F68" i="14" s="1"/>
  <c r="E68" i="14"/>
  <c r="E66" i="14"/>
  <c r="D66" i="14"/>
  <c r="F66" i="14" s="1"/>
  <c r="D64" i="14"/>
  <c r="E63" i="14"/>
  <c r="D63" i="14"/>
  <c r="F63" i="14" s="1"/>
  <c r="E61" i="14"/>
  <c r="D61" i="14"/>
  <c r="F61" i="14" s="1"/>
  <c r="E60" i="14"/>
  <c r="E58" i="14"/>
  <c r="D58" i="14"/>
  <c r="F58" i="14" s="1"/>
  <c r="D56" i="14"/>
  <c r="E55" i="14"/>
  <c r="D55" i="14"/>
  <c r="F55" i="14" s="1"/>
  <c r="E53" i="14"/>
  <c r="D53" i="14"/>
  <c r="F53" i="14" s="1"/>
  <c r="E52" i="14"/>
  <c r="E50" i="14"/>
  <c r="D50" i="14"/>
  <c r="F50" i="14" s="1"/>
  <c r="D48" i="14"/>
  <c r="E47" i="14"/>
  <c r="D47" i="14"/>
  <c r="F47" i="14" s="1"/>
  <c r="E45" i="14"/>
  <c r="D45" i="14"/>
  <c r="F45" i="14" s="1"/>
  <c r="E44" i="14"/>
  <c r="E42" i="14"/>
  <c r="D42" i="14"/>
  <c r="F42" i="14" s="1"/>
  <c r="D40" i="14"/>
  <c r="E39" i="14"/>
  <c r="D39" i="14"/>
  <c r="F39" i="14" s="1"/>
  <c r="E37" i="14"/>
  <c r="D37" i="14"/>
  <c r="F37" i="14" s="1"/>
  <c r="E36" i="14"/>
  <c r="E34" i="14"/>
  <c r="D34" i="14"/>
  <c r="F34" i="14" s="1"/>
  <c r="D32" i="14"/>
  <c r="E31" i="14"/>
  <c r="D31" i="14"/>
  <c r="F31" i="14" s="1"/>
  <c r="E29" i="14"/>
  <c r="D29" i="14"/>
  <c r="F29" i="14" s="1"/>
  <c r="E28" i="14"/>
  <c r="E26" i="14"/>
  <c r="D26" i="14"/>
  <c r="F26" i="14" s="1"/>
  <c r="D24" i="14"/>
  <c r="E23" i="14"/>
  <c r="D23" i="14"/>
  <c r="F23" i="14" s="1"/>
  <c r="E21" i="14"/>
  <c r="D21" i="14"/>
  <c r="F21" i="14" s="1"/>
  <c r="E20" i="14"/>
  <c r="D19" i="14"/>
  <c r="B73" i="13"/>
  <c r="C72" i="13"/>
  <c r="C74" i="13" s="1"/>
  <c r="B72" i="13"/>
  <c r="D68" i="13" s="1"/>
  <c r="F68" i="13" s="1"/>
  <c r="E68" i="13"/>
  <c r="D67" i="13"/>
  <c r="E66" i="13"/>
  <c r="D66" i="13"/>
  <c r="F66" i="13" s="1"/>
  <c r="E64" i="13"/>
  <c r="D64" i="13"/>
  <c r="F64" i="13" s="1"/>
  <c r="E63" i="13"/>
  <c r="D63" i="13"/>
  <c r="F63" i="13" s="1"/>
  <c r="F61" i="13"/>
  <c r="E61" i="13"/>
  <c r="D61" i="13"/>
  <c r="E60" i="13"/>
  <c r="D59" i="13"/>
  <c r="E58" i="13"/>
  <c r="D58" i="13"/>
  <c r="F58" i="13" s="1"/>
  <c r="E56" i="13"/>
  <c r="D56" i="13"/>
  <c r="F56" i="13" s="1"/>
  <c r="E55" i="13"/>
  <c r="D55" i="13"/>
  <c r="F55" i="13" s="1"/>
  <c r="F53" i="13"/>
  <c r="E53" i="13"/>
  <c r="D53" i="13"/>
  <c r="E52" i="13"/>
  <c r="D51" i="13"/>
  <c r="E50" i="13"/>
  <c r="D50" i="13"/>
  <c r="F50" i="13" s="1"/>
  <c r="E48" i="13"/>
  <c r="D48" i="13"/>
  <c r="F48" i="13" s="1"/>
  <c r="E47" i="13"/>
  <c r="D47" i="13"/>
  <c r="F47" i="13" s="1"/>
  <c r="F45" i="13"/>
  <c r="E45" i="13"/>
  <c r="D45" i="13"/>
  <c r="E44" i="13"/>
  <c r="D43" i="13"/>
  <c r="E42" i="13"/>
  <c r="D42" i="13"/>
  <c r="F42" i="13" s="1"/>
  <c r="E40" i="13"/>
  <c r="D40" i="13"/>
  <c r="F40" i="13" s="1"/>
  <c r="E39" i="13"/>
  <c r="D39" i="13"/>
  <c r="F39" i="13" s="1"/>
  <c r="F37" i="13"/>
  <c r="E37" i="13"/>
  <c r="D37" i="13"/>
  <c r="E36" i="13"/>
  <c r="D35" i="13"/>
  <c r="E34" i="13"/>
  <c r="D34" i="13"/>
  <c r="F34" i="13" s="1"/>
  <c r="E32" i="13"/>
  <c r="D32" i="13"/>
  <c r="F32" i="13" s="1"/>
  <c r="E31" i="13"/>
  <c r="D31" i="13"/>
  <c r="F31" i="13" s="1"/>
  <c r="F29" i="13"/>
  <c r="E29" i="13"/>
  <c r="D29" i="13"/>
  <c r="E28" i="13"/>
  <c r="D27" i="13"/>
  <c r="E26" i="13"/>
  <c r="D26" i="13"/>
  <c r="F26" i="13" s="1"/>
  <c r="E24" i="13"/>
  <c r="D24" i="13"/>
  <c r="F24" i="13" s="1"/>
  <c r="E23" i="13"/>
  <c r="D23" i="13"/>
  <c r="F23" i="13" s="1"/>
  <c r="F21" i="13"/>
  <c r="E21" i="13"/>
  <c r="D21" i="13"/>
  <c r="E20" i="13"/>
  <c r="D19" i="13"/>
  <c r="C72" i="12"/>
  <c r="C74" i="12" s="1"/>
  <c r="B72" i="12"/>
  <c r="D68" i="12" s="1"/>
  <c r="E34" i="12"/>
  <c r="E26" i="12"/>
  <c r="C72" i="11"/>
  <c r="E29" i="11" s="1"/>
  <c r="B72" i="11"/>
  <c r="D61" i="11" s="1"/>
  <c r="C72" i="10"/>
  <c r="B72" i="10"/>
  <c r="C72" i="9"/>
  <c r="E58" i="9" s="1"/>
  <c r="B72" i="9"/>
  <c r="C72" i="8"/>
  <c r="B72" i="8"/>
  <c r="C72" i="7"/>
  <c r="B72" i="7"/>
  <c r="C72" i="6"/>
  <c r="B72" i="6"/>
  <c r="F31" i="20" l="1"/>
  <c r="F28" i="20"/>
  <c r="F68" i="20"/>
  <c r="F67" i="20"/>
  <c r="F27" i="20"/>
  <c r="F34" i="20"/>
  <c r="F19" i="20"/>
  <c r="D21" i="11"/>
  <c r="D22" i="11"/>
  <c r="F22" i="11" s="1"/>
  <c r="D38" i="11"/>
  <c r="E24" i="11"/>
  <c r="E39" i="11"/>
  <c r="D56" i="11"/>
  <c r="C73" i="11"/>
  <c r="C74" i="11"/>
  <c r="E53" i="11"/>
  <c r="D30" i="11"/>
  <c r="E36" i="11"/>
  <c r="E37" i="11"/>
  <c r="E22" i="11"/>
  <c r="E28" i="11"/>
  <c r="E20" i="11"/>
  <c r="E32" i="11"/>
  <c r="D68" i="11"/>
  <c r="B73" i="11"/>
  <c r="B74" i="11"/>
  <c r="D68" i="10"/>
  <c r="B73" i="10"/>
  <c r="B74" i="10"/>
  <c r="C73" i="10"/>
  <c r="C74" i="10"/>
  <c r="E36" i="9"/>
  <c r="E42" i="9"/>
  <c r="E60" i="9"/>
  <c r="E21" i="9"/>
  <c r="E23" i="9"/>
  <c r="E20" i="9"/>
  <c r="D68" i="9"/>
  <c r="B73" i="9"/>
  <c r="B74" i="9"/>
  <c r="C73" i="9"/>
  <c r="C74" i="9"/>
  <c r="E29" i="9"/>
  <c r="E34" i="9"/>
  <c r="E40" i="9"/>
  <c r="E62" i="8"/>
  <c r="C73" i="8"/>
  <c r="C74" i="8"/>
  <c r="E23" i="8"/>
  <c r="E35" i="8"/>
  <c r="B73" i="8"/>
  <c r="B74" i="8"/>
  <c r="C73" i="7"/>
  <c r="C74" i="7"/>
  <c r="D64" i="7"/>
  <c r="B73" i="7"/>
  <c r="B74" i="7"/>
  <c r="E66" i="6"/>
  <c r="C73" i="6"/>
  <c r="C74" i="6"/>
  <c r="B73" i="6"/>
  <c r="B74" i="6"/>
  <c r="D368" i="18"/>
  <c r="D370" i="18"/>
  <c r="D374" i="18"/>
  <c r="D378" i="18"/>
  <c r="D382" i="18"/>
  <c r="D386" i="18"/>
  <c r="D390" i="18"/>
  <c r="D369" i="18"/>
  <c r="D373" i="18"/>
  <c r="D377" i="18"/>
  <c r="D381" i="18"/>
  <c r="D385" i="18"/>
  <c r="D389" i="18"/>
  <c r="D372" i="18"/>
  <c r="D376" i="18"/>
  <c r="D380" i="18"/>
  <c r="D384" i="18"/>
  <c r="D388" i="18"/>
  <c r="D392" i="18"/>
  <c r="D371" i="18"/>
  <c r="D375" i="18"/>
  <c r="D379" i="18"/>
  <c r="D383" i="18"/>
  <c r="D387" i="18"/>
  <c r="D391" i="18"/>
  <c r="E368" i="18"/>
  <c r="H368" i="18" s="1"/>
  <c r="E375" i="18"/>
  <c r="H375" i="18" s="1"/>
  <c r="E370" i="18"/>
  <c r="H370" i="18" s="1"/>
  <c r="E374" i="18"/>
  <c r="H374" i="18" s="1"/>
  <c r="E378" i="18"/>
  <c r="H378" i="18" s="1"/>
  <c r="E382" i="18"/>
  <c r="H382" i="18" s="1"/>
  <c r="E386" i="18"/>
  <c r="H386" i="18" s="1"/>
  <c r="E390" i="18"/>
  <c r="H390" i="18" s="1"/>
  <c r="E379" i="18"/>
  <c r="H379" i="18" s="1"/>
  <c r="E383" i="18"/>
  <c r="H383" i="18" s="1"/>
  <c r="E387" i="18"/>
  <c r="H387" i="18" s="1"/>
  <c r="E391" i="18"/>
  <c r="H391" i="18" s="1"/>
  <c r="E369" i="18"/>
  <c r="H369" i="18" s="1"/>
  <c r="E373" i="18"/>
  <c r="H373" i="18" s="1"/>
  <c r="E377" i="18"/>
  <c r="H377" i="18" s="1"/>
  <c r="E381" i="18"/>
  <c r="H381" i="18" s="1"/>
  <c r="E385" i="18"/>
  <c r="H385" i="18" s="1"/>
  <c r="E389" i="18"/>
  <c r="H389" i="18" s="1"/>
  <c r="E371" i="18"/>
  <c r="H371" i="18" s="1"/>
  <c r="E372" i="18"/>
  <c r="H372" i="18" s="1"/>
  <c r="E376" i="18"/>
  <c r="H376" i="18" s="1"/>
  <c r="E380" i="18"/>
  <c r="H380" i="18" s="1"/>
  <c r="E384" i="18"/>
  <c r="H384" i="18" s="1"/>
  <c r="E388" i="18"/>
  <c r="H388" i="18" s="1"/>
  <c r="E392" i="18"/>
  <c r="H392" i="18" s="1"/>
  <c r="G368" i="18"/>
  <c r="D309" i="18"/>
  <c r="G309" i="18" s="1"/>
  <c r="D311" i="18"/>
  <c r="D315" i="18"/>
  <c r="D319" i="18"/>
  <c r="D323" i="18"/>
  <c r="D327" i="18"/>
  <c r="D331" i="18"/>
  <c r="D335" i="18"/>
  <c r="D339" i="18"/>
  <c r="D343" i="18"/>
  <c r="D347" i="18"/>
  <c r="D351" i="18"/>
  <c r="D355" i="18"/>
  <c r="D310" i="18"/>
  <c r="D314" i="18"/>
  <c r="D318" i="18"/>
  <c r="D322" i="18"/>
  <c r="D326" i="18"/>
  <c r="D330" i="18"/>
  <c r="D334" i="18"/>
  <c r="D338" i="18"/>
  <c r="D342" i="18"/>
  <c r="D346" i="18"/>
  <c r="D350" i="18"/>
  <c r="D354" i="18"/>
  <c r="D358" i="18"/>
  <c r="D313" i="18"/>
  <c r="D317" i="18"/>
  <c r="D321" i="18"/>
  <c r="D325" i="18"/>
  <c r="D329" i="18"/>
  <c r="D333" i="18"/>
  <c r="D337" i="18"/>
  <c r="D341" i="18"/>
  <c r="D345" i="18"/>
  <c r="D349" i="18"/>
  <c r="D353" i="18"/>
  <c r="D357" i="18"/>
  <c r="D320" i="18"/>
  <c r="D312" i="18"/>
  <c r="D316" i="18"/>
  <c r="D344" i="18"/>
  <c r="D328" i="18"/>
  <c r="D332" i="18"/>
  <c r="D348" i="18"/>
  <c r="D336" i="18"/>
  <c r="D352" i="18"/>
  <c r="D324" i="18"/>
  <c r="D340" i="18"/>
  <c r="D356" i="18"/>
  <c r="E309" i="18"/>
  <c r="H309" i="18" s="1"/>
  <c r="E326" i="18"/>
  <c r="H326" i="18" s="1"/>
  <c r="E311" i="18"/>
  <c r="H311" i="18" s="1"/>
  <c r="E315" i="18"/>
  <c r="H315" i="18" s="1"/>
  <c r="E319" i="18"/>
  <c r="H319" i="18" s="1"/>
  <c r="E323" i="18"/>
  <c r="H323" i="18" s="1"/>
  <c r="E327" i="18"/>
  <c r="H327" i="18" s="1"/>
  <c r="E331" i="18"/>
  <c r="H331" i="18" s="1"/>
  <c r="E335" i="18"/>
  <c r="H335" i="18" s="1"/>
  <c r="E339" i="18"/>
  <c r="H339" i="18" s="1"/>
  <c r="E343" i="18"/>
  <c r="H343" i="18" s="1"/>
  <c r="E347" i="18"/>
  <c r="H347" i="18" s="1"/>
  <c r="E351" i="18"/>
  <c r="H351" i="18" s="1"/>
  <c r="E355" i="18"/>
  <c r="H355" i="18" s="1"/>
  <c r="E318" i="18"/>
  <c r="H318" i="18" s="1"/>
  <c r="E310" i="18"/>
  <c r="H310" i="18" s="1"/>
  <c r="E314" i="18"/>
  <c r="H314" i="18" s="1"/>
  <c r="E322" i="18"/>
  <c r="H322" i="18" s="1"/>
  <c r="E313" i="18"/>
  <c r="H313" i="18" s="1"/>
  <c r="E317" i="18"/>
  <c r="H317" i="18" s="1"/>
  <c r="E321" i="18"/>
  <c r="H321" i="18" s="1"/>
  <c r="E325" i="18"/>
  <c r="H325" i="18" s="1"/>
  <c r="E329" i="18"/>
  <c r="H329" i="18" s="1"/>
  <c r="E333" i="18"/>
  <c r="H333" i="18" s="1"/>
  <c r="E337" i="18"/>
  <c r="H337" i="18" s="1"/>
  <c r="E341" i="18"/>
  <c r="H341" i="18" s="1"/>
  <c r="E345" i="18"/>
  <c r="H345" i="18" s="1"/>
  <c r="E349" i="18"/>
  <c r="H349" i="18" s="1"/>
  <c r="E353" i="18"/>
  <c r="H353" i="18" s="1"/>
  <c r="E357" i="18"/>
  <c r="H357" i="18" s="1"/>
  <c r="E340" i="18"/>
  <c r="H340" i="18" s="1"/>
  <c r="E356" i="18"/>
  <c r="H356" i="18" s="1"/>
  <c r="E334" i="18"/>
  <c r="H334" i="18" s="1"/>
  <c r="E348" i="18"/>
  <c r="H348" i="18" s="1"/>
  <c r="E344" i="18"/>
  <c r="H344" i="18" s="1"/>
  <c r="E320" i="18"/>
  <c r="H320" i="18" s="1"/>
  <c r="E328" i="18"/>
  <c r="H328" i="18" s="1"/>
  <c r="E338" i="18"/>
  <c r="H338" i="18" s="1"/>
  <c r="E354" i="18"/>
  <c r="H354" i="18" s="1"/>
  <c r="E332" i="18"/>
  <c r="H332" i="18" s="1"/>
  <c r="E316" i="18"/>
  <c r="H316" i="18" s="1"/>
  <c r="E342" i="18"/>
  <c r="H342" i="18" s="1"/>
  <c r="E358" i="18"/>
  <c r="H358" i="18" s="1"/>
  <c r="E312" i="18"/>
  <c r="H312" i="18" s="1"/>
  <c r="E324" i="18"/>
  <c r="H324" i="18" s="1"/>
  <c r="E330" i="18"/>
  <c r="H330" i="18" s="1"/>
  <c r="E346" i="18"/>
  <c r="H346" i="18" s="1"/>
  <c r="E336" i="18"/>
  <c r="H336" i="18" s="1"/>
  <c r="E352" i="18"/>
  <c r="H352" i="18" s="1"/>
  <c r="E350" i="18"/>
  <c r="H350" i="18" s="1"/>
  <c r="D250" i="18"/>
  <c r="D252" i="18"/>
  <c r="D256" i="18"/>
  <c r="D260" i="18"/>
  <c r="D264" i="18"/>
  <c r="D268" i="18"/>
  <c r="D272" i="18"/>
  <c r="D265" i="18"/>
  <c r="D273" i="18"/>
  <c r="D251" i="18"/>
  <c r="D255" i="18"/>
  <c r="D259" i="18"/>
  <c r="D263" i="18"/>
  <c r="D267" i="18"/>
  <c r="D271" i="18"/>
  <c r="D253" i="18"/>
  <c r="D257" i="18"/>
  <c r="D254" i="18"/>
  <c r="D258" i="18"/>
  <c r="D262" i="18"/>
  <c r="D266" i="18"/>
  <c r="D270" i="18"/>
  <c r="D274" i="18"/>
  <c r="D261" i="18"/>
  <c r="D269" i="18"/>
  <c r="E250" i="18"/>
  <c r="H250" i="18" s="1"/>
  <c r="E257" i="18"/>
  <c r="H257" i="18" s="1"/>
  <c r="E265" i="18"/>
  <c r="H265" i="18" s="1"/>
  <c r="E252" i="18"/>
  <c r="H252" i="18" s="1"/>
  <c r="E256" i="18"/>
  <c r="H256" i="18" s="1"/>
  <c r="E260" i="18"/>
  <c r="H260" i="18" s="1"/>
  <c r="E264" i="18"/>
  <c r="H264" i="18" s="1"/>
  <c r="E268" i="18"/>
  <c r="H268" i="18" s="1"/>
  <c r="E272" i="18"/>
  <c r="H272" i="18" s="1"/>
  <c r="E269" i="18"/>
  <c r="H269" i="18" s="1"/>
  <c r="E251" i="18"/>
  <c r="H251" i="18" s="1"/>
  <c r="E255" i="18"/>
  <c r="H255" i="18" s="1"/>
  <c r="E259" i="18"/>
  <c r="H259" i="18" s="1"/>
  <c r="E263" i="18"/>
  <c r="H263" i="18" s="1"/>
  <c r="E267" i="18"/>
  <c r="H267" i="18" s="1"/>
  <c r="E271" i="18"/>
  <c r="H271" i="18" s="1"/>
  <c r="E261" i="18"/>
  <c r="H261" i="18" s="1"/>
  <c r="E253" i="18"/>
  <c r="H253" i="18" s="1"/>
  <c r="E254" i="18"/>
  <c r="H254" i="18" s="1"/>
  <c r="E258" i="18"/>
  <c r="H258" i="18" s="1"/>
  <c r="E262" i="18"/>
  <c r="H262" i="18" s="1"/>
  <c r="E266" i="18"/>
  <c r="H266" i="18" s="1"/>
  <c r="E270" i="18"/>
  <c r="H270" i="18" s="1"/>
  <c r="E274" i="18"/>
  <c r="H274" i="18" s="1"/>
  <c r="E273" i="18"/>
  <c r="H273" i="18" s="1"/>
  <c r="D191" i="18"/>
  <c r="G191" i="18" s="1"/>
  <c r="D193" i="18"/>
  <c r="D197" i="18"/>
  <c r="D201" i="18"/>
  <c r="D205" i="18"/>
  <c r="D209" i="18"/>
  <c r="D213" i="18"/>
  <c r="D208" i="18"/>
  <c r="D212" i="18"/>
  <c r="D192" i="18"/>
  <c r="D196" i="18"/>
  <c r="D200" i="18"/>
  <c r="D204" i="18"/>
  <c r="D195" i="18"/>
  <c r="D199" i="18"/>
  <c r="D203" i="18"/>
  <c r="D207" i="18"/>
  <c r="D211" i="18"/>
  <c r="D215" i="18"/>
  <c r="D194" i="18"/>
  <c r="D198" i="18"/>
  <c r="D202" i="18"/>
  <c r="D206" i="18"/>
  <c r="D210" i="18"/>
  <c r="D214" i="18"/>
  <c r="E191" i="18"/>
  <c r="H191" i="18" s="1"/>
  <c r="E193" i="18"/>
  <c r="H193" i="18" s="1"/>
  <c r="E197" i="18"/>
  <c r="H197" i="18" s="1"/>
  <c r="E201" i="18"/>
  <c r="H201" i="18" s="1"/>
  <c r="E213" i="18"/>
  <c r="H213" i="18" s="1"/>
  <c r="E209" i="18"/>
  <c r="H209" i="18" s="1"/>
  <c r="E192" i="18"/>
  <c r="H192" i="18" s="1"/>
  <c r="E196" i="18"/>
  <c r="H196" i="18" s="1"/>
  <c r="E200" i="18"/>
  <c r="H200" i="18" s="1"/>
  <c r="E204" i="18"/>
  <c r="H204" i="18" s="1"/>
  <c r="E208" i="18"/>
  <c r="H208" i="18" s="1"/>
  <c r="E212" i="18"/>
  <c r="H212" i="18" s="1"/>
  <c r="E194" i="18"/>
  <c r="H194" i="18" s="1"/>
  <c r="E198" i="18"/>
  <c r="H198" i="18" s="1"/>
  <c r="E206" i="18"/>
  <c r="H206" i="18" s="1"/>
  <c r="E210" i="18"/>
  <c r="H210" i="18" s="1"/>
  <c r="E205" i="18"/>
  <c r="H205" i="18" s="1"/>
  <c r="E195" i="18"/>
  <c r="H195" i="18" s="1"/>
  <c r="E199" i="18"/>
  <c r="H199" i="18" s="1"/>
  <c r="E203" i="18"/>
  <c r="H203" i="18" s="1"/>
  <c r="E207" i="18"/>
  <c r="H207" i="18" s="1"/>
  <c r="E211" i="18"/>
  <c r="H211" i="18" s="1"/>
  <c r="E215" i="18"/>
  <c r="H215" i="18" s="1"/>
  <c r="E202" i="18"/>
  <c r="H202" i="18" s="1"/>
  <c r="E214" i="18"/>
  <c r="H214" i="18" s="1"/>
  <c r="D227" i="18"/>
  <c r="G227" i="18" s="1"/>
  <c r="E227" i="18"/>
  <c r="H227" i="18" s="1"/>
  <c r="D131" i="18"/>
  <c r="G131" i="18" s="1"/>
  <c r="D133" i="18"/>
  <c r="D137" i="18"/>
  <c r="D141" i="18"/>
  <c r="D145" i="18"/>
  <c r="D149" i="18"/>
  <c r="D153" i="18"/>
  <c r="D132" i="18"/>
  <c r="D136" i="18"/>
  <c r="D140" i="18"/>
  <c r="D144" i="18"/>
  <c r="D148" i="18"/>
  <c r="D152" i="18"/>
  <c r="D135" i="18"/>
  <c r="D139" i="18"/>
  <c r="D143" i="18"/>
  <c r="D147" i="18"/>
  <c r="D151" i="18"/>
  <c r="D155" i="18"/>
  <c r="D134" i="18"/>
  <c r="D138" i="18"/>
  <c r="D142" i="18"/>
  <c r="D146" i="18"/>
  <c r="D150" i="18"/>
  <c r="D154" i="18"/>
  <c r="E131" i="18"/>
  <c r="H131" i="18" s="1"/>
  <c r="E133" i="18"/>
  <c r="H133" i="18" s="1"/>
  <c r="E141" i="18"/>
  <c r="H141" i="18" s="1"/>
  <c r="E145" i="18"/>
  <c r="H145" i="18" s="1"/>
  <c r="E149" i="18"/>
  <c r="H149" i="18" s="1"/>
  <c r="E137" i="18"/>
  <c r="H137" i="18" s="1"/>
  <c r="E136" i="18"/>
  <c r="H136" i="18" s="1"/>
  <c r="E140" i="18"/>
  <c r="H140" i="18" s="1"/>
  <c r="E144" i="18"/>
  <c r="H144" i="18" s="1"/>
  <c r="E153" i="18"/>
  <c r="H153" i="18" s="1"/>
  <c r="E132" i="18"/>
  <c r="H132" i="18" s="1"/>
  <c r="E148" i="18"/>
  <c r="H148" i="18" s="1"/>
  <c r="E152" i="18"/>
  <c r="H152" i="18" s="1"/>
  <c r="E135" i="18"/>
  <c r="H135" i="18" s="1"/>
  <c r="E139" i="18"/>
  <c r="H139" i="18" s="1"/>
  <c r="E143" i="18"/>
  <c r="H143" i="18" s="1"/>
  <c r="E147" i="18"/>
  <c r="H147" i="18" s="1"/>
  <c r="E151" i="18"/>
  <c r="H151" i="18" s="1"/>
  <c r="E155" i="18"/>
  <c r="H155" i="18" s="1"/>
  <c r="E142" i="18"/>
  <c r="H142" i="18" s="1"/>
  <c r="E150" i="18"/>
  <c r="H150" i="18" s="1"/>
  <c r="E134" i="18"/>
  <c r="H134" i="18" s="1"/>
  <c r="E138" i="18"/>
  <c r="H138" i="18" s="1"/>
  <c r="E146" i="18"/>
  <c r="H146" i="18" s="1"/>
  <c r="E154" i="18"/>
  <c r="H154" i="18" s="1"/>
  <c r="E70" i="18"/>
  <c r="H70" i="18" s="1"/>
  <c r="E72" i="18"/>
  <c r="H72" i="18" s="1"/>
  <c r="E76" i="18"/>
  <c r="H76" i="18" s="1"/>
  <c r="E80" i="18"/>
  <c r="H80" i="18" s="1"/>
  <c r="E84" i="18"/>
  <c r="H84" i="18" s="1"/>
  <c r="E88" i="18"/>
  <c r="H88" i="18" s="1"/>
  <c r="E92" i="18"/>
  <c r="H92" i="18" s="1"/>
  <c r="E77" i="18"/>
  <c r="H77" i="18" s="1"/>
  <c r="E71" i="18"/>
  <c r="H71" i="18" s="1"/>
  <c r="E75" i="18"/>
  <c r="H75" i="18" s="1"/>
  <c r="E79" i="18"/>
  <c r="H79" i="18" s="1"/>
  <c r="E83" i="18"/>
  <c r="H83" i="18" s="1"/>
  <c r="E87" i="18"/>
  <c r="H87" i="18" s="1"/>
  <c r="E91" i="18"/>
  <c r="H91" i="18" s="1"/>
  <c r="E73" i="18"/>
  <c r="H73" i="18" s="1"/>
  <c r="E81" i="18"/>
  <c r="H81" i="18" s="1"/>
  <c r="E85" i="18"/>
  <c r="H85" i="18" s="1"/>
  <c r="E89" i="18"/>
  <c r="H89" i="18" s="1"/>
  <c r="E74" i="18"/>
  <c r="H74" i="18" s="1"/>
  <c r="E78" i="18"/>
  <c r="H78" i="18" s="1"/>
  <c r="E82" i="18"/>
  <c r="H82" i="18" s="1"/>
  <c r="E86" i="18"/>
  <c r="H86" i="18" s="1"/>
  <c r="E90" i="18"/>
  <c r="H90" i="18" s="1"/>
  <c r="E94" i="18"/>
  <c r="H94" i="18" s="1"/>
  <c r="E93" i="18"/>
  <c r="H93" i="18" s="1"/>
  <c r="D70" i="18"/>
  <c r="G70" i="18" s="1"/>
  <c r="D72" i="18"/>
  <c r="D76" i="18"/>
  <c r="D80" i="18"/>
  <c r="D84" i="18"/>
  <c r="D88" i="18"/>
  <c r="D83" i="18"/>
  <c r="D87" i="18"/>
  <c r="D91" i="18"/>
  <c r="D71" i="18"/>
  <c r="D75" i="18"/>
  <c r="D79" i="18"/>
  <c r="D77" i="18"/>
  <c r="D93" i="18"/>
  <c r="D74" i="18"/>
  <c r="D78" i="18"/>
  <c r="D82" i="18"/>
  <c r="D86" i="18"/>
  <c r="D90" i="18"/>
  <c r="D94" i="18"/>
  <c r="D81" i="18"/>
  <c r="D73" i="18"/>
  <c r="D85" i="18"/>
  <c r="D89" i="18"/>
  <c r="D92" i="18"/>
  <c r="D9" i="18"/>
  <c r="D10" i="18"/>
  <c r="D14" i="18"/>
  <c r="D18" i="18"/>
  <c r="D22" i="18"/>
  <c r="D26" i="18"/>
  <c r="D30" i="18"/>
  <c r="D25" i="18"/>
  <c r="D19" i="18"/>
  <c r="D13" i="18"/>
  <c r="D17" i="18"/>
  <c r="D21" i="18"/>
  <c r="D29" i="18"/>
  <c r="D33" i="18"/>
  <c r="D12" i="18"/>
  <c r="D16" i="18"/>
  <c r="D20" i="18"/>
  <c r="D24" i="18"/>
  <c r="D28" i="18"/>
  <c r="D32" i="18"/>
  <c r="D11" i="18"/>
  <c r="D15" i="18"/>
  <c r="D23" i="18"/>
  <c r="D31" i="18"/>
  <c r="D27" i="18"/>
  <c r="E9" i="18"/>
  <c r="H9" i="18" s="1"/>
  <c r="E13" i="18"/>
  <c r="H13" i="18" s="1"/>
  <c r="E29" i="18"/>
  <c r="H29" i="18" s="1"/>
  <c r="E33" i="18"/>
  <c r="H33" i="18" s="1"/>
  <c r="E10" i="18"/>
  <c r="H10" i="18" s="1"/>
  <c r="E14" i="18"/>
  <c r="H14" i="18" s="1"/>
  <c r="E18" i="18"/>
  <c r="H18" i="18" s="1"/>
  <c r="E22" i="18"/>
  <c r="H22" i="18" s="1"/>
  <c r="E26" i="18"/>
  <c r="H26" i="18" s="1"/>
  <c r="E30" i="18"/>
  <c r="H30" i="18" s="1"/>
  <c r="E17" i="18"/>
  <c r="H17" i="18" s="1"/>
  <c r="E21" i="18"/>
  <c r="H21" i="18" s="1"/>
  <c r="E25" i="18"/>
  <c r="H25" i="18" s="1"/>
  <c r="E12" i="18"/>
  <c r="H12" i="18" s="1"/>
  <c r="E16" i="18"/>
  <c r="H16" i="18" s="1"/>
  <c r="E20" i="18"/>
  <c r="H20" i="18" s="1"/>
  <c r="E24" i="18"/>
  <c r="H24" i="18" s="1"/>
  <c r="E28" i="18"/>
  <c r="H28" i="18" s="1"/>
  <c r="E32" i="18"/>
  <c r="H32" i="18" s="1"/>
  <c r="E15" i="18"/>
  <c r="H15" i="18" s="1"/>
  <c r="E11" i="18"/>
  <c r="H11" i="18" s="1"/>
  <c r="E23" i="18"/>
  <c r="H23" i="18" s="1"/>
  <c r="E27" i="18"/>
  <c r="H27" i="18" s="1"/>
  <c r="E31" i="18"/>
  <c r="H31" i="18" s="1"/>
  <c r="E19" i="18"/>
  <c r="H19" i="18" s="1"/>
  <c r="G9" i="18"/>
  <c r="F9" i="18"/>
  <c r="F66" i="20"/>
  <c r="F49" i="20"/>
  <c r="F51" i="20"/>
  <c r="F35" i="20"/>
  <c r="F55" i="20"/>
  <c r="F48" i="20"/>
  <c r="F45" i="20"/>
  <c r="D32" i="11"/>
  <c r="D40" i="11"/>
  <c r="D25" i="11"/>
  <c r="E33" i="11"/>
  <c r="E41" i="11"/>
  <c r="D26" i="11"/>
  <c r="D34" i="11"/>
  <c r="D45" i="11"/>
  <c r="D28" i="11"/>
  <c r="F28" i="11" s="1"/>
  <c r="D36" i="11"/>
  <c r="F36" i="11" s="1"/>
  <c r="D53" i="11"/>
  <c r="F53" i="11" s="1"/>
  <c r="E24" i="9"/>
  <c r="E47" i="9"/>
  <c r="E26" i="9"/>
  <c r="D48" i="9"/>
  <c r="E28" i="9"/>
  <c r="E53" i="9"/>
  <c r="E19" i="8"/>
  <c r="E25" i="8"/>
  <c r="D38" i="8"/>
  <c r="D37" i="8"/>
  <c r="D20" i="8"/>
  <c r="E26" i="8"/>
  <c r="E45" i="8"/>
  <c r="E20" i="8"/>
  <c r="E27" i="8"/>
  <c r="E49" i="8"/>
  <c r="D21" i="8"/>
  <c r="E29" i="8"/>
  <c r="E50" i="8"/>
  <c r="E21" i="8"/>
  <c r="E33" i="8"/>
  <c r="E53" i="8"/>
  <c r="E24" i="8"/>
  <c r="D22" i="8"/>
  <c r="E34" i="8"/>
  <c r="E67" i="8"/>
  <c r="F23" i="20"/>
  <c r="F59" i="20"/>
  <c r="F60" i="20"/>
  <c r="F56" i="20"/>
  <c r="F36" i="20"/>
  <c r="D19" i="11"/>
  <c r="D23" i="11"/>
  <c r="E26" i="11"/>
  <c r="E30" i="11"/>
  <c r="F30" i="11" s="1"/>
  <c r="E34" i="11"/>
  <c r="E38" i="11"/>
  <c r="F38" i="11" s="1"/>
  <c r="E45" i="11"/>
  <c r="E61" i="11"/>
  <c r="F61" i="11" s="1"/>
  <c r="E19" i="11"/>
  <c r="E23" i="11"/>
  <c r="D27" i="11"/>
  <c r="D31" i="11"/>
  <c r="D35" i="11"/>
  <c r="D47" i="11"/>
  <c r="D63" i="11"/>
  <c r="D20" i="11"/>
  <c r="D24" i="11"/>
  <c r="F24" i="11" s="1"/>
  <c r="E27" i="11"/>
  <c r="E31" i="11"/>
  <c r="E35" i="11"/>
  <c r="D39" i="11"/>
  <c r="D48" i="11"/>
  <c r="D64" i="11"/>
  <c r="E21" i="11"/>
  <c r="F21" i="11" s="1"/>
  <c r="E25" i="11"/>
  <c r="F25" i="11" s="1"/>
  <c r="D29" i="11"/>
  <c r="F29" i="11" s="1"/>
  <c r="D33" i="11"/>
  <c r="D37" i="11"/>
  <c r="E40" i="11"/>
  <c r="D55" i="11"/>
  <c r="D24" i="9"/>
  <c r="D31" i="9"/>
  <c r="D37" i="9"/>
  <c r="D43" i="9"/>
  <c r="E48" i="9"/>
  <c r="D55" i="9"/>
  <c r="E61" i="9"/>
  <c r="E31" i="9"/>
  <c r="E37" i="9"/>
  <c r="E44" i="9"/>
  <c r="D50" i="9"/>
  <c r="E55" i="9"/>
  <c r="F55" i="9" s="1"/>
  <c r="D63" i="9"/>
  <c r="D19" i="9"/>
  <c r="D26" i="9"/>
  <c r="F26" i="9" s="1"/>
  <c r="D32" i="9"/>
  <c r="F32" i="9" s="1"/>
  <c r="D39" i="9"/>
  <c r="D45" i="9"/>
  <c r="E50" i="9"/>
  <c r="D56" i="9"/>
  <c r="F56" i="9" s="1"/>
  <c r="E63" i="9"/>
  <c r="E32" i="9"/>
  <c r="E39" i="9"/>
  <c r="E45" i="9"/>
  <c r="D51" i="9"/>
  <c r="E56" i="9"/>
  <c r="D66" i="9"/>
  <c r="D21" i="9"/>
  <c r="F21" i="9" s="1"/>
  <c r="D27" i="9"/>
  <c r="D34" i="9"/>
  <c r="D40" i="9"/>
  <c r="F40" i="9" s="1"/>
  <c r="E52" i="9"/>
  <c r="D58" i="9"/>
  <c r="F58" i="9" s="1"/>
  <c r="D67" i="9"/>
  <c r="D47" i="9"/>
  <c r="D53" i="9"/>
  <c r="D23" i="9"/>
  <c r="F23" i="9" s="1"/>
  <c r="D29" i="9"/>
  <c r="F29" i="9" s="1"/>
  <c r="D35" i="9"/>
  <c r="D42" i="9"/>
  <c r="D59" i="9"/>
  <c r="D29" i="8"/>
  <c r="E37" i="8"/>
  <c r="E51" i="8"/>
  <c r="D30" i="8"/>
  <c r="E41" i="8"/>
  <c r="E57" i="8"/>
  <c r="E32" i="8"/>
  <c r="E42" i="8"/>
  <c r="E61" i="8"/>
  <c r="E43" i="8"/>
  <c r="E66" i="8"/>
  <c r="D25" i="7"/>
  <c r="D26" i="7"/>
  <c r="D36" i="7"/>
  <c r="D43" i="7"/>
  <c r="D44" i="7"/>
  <c r="D33" i="7"/>
  <c r="D50" i="7"/>
  <c r="D19" i="7"/>
  <c r="D57" i="7"/>
  <c r="E30" i="7"/>
  <c r="E43" i="7"/>
  <c r="E38" i="7"/>
  <c r="E51" i="7"/>
  <c r="E19" i="7"/>
  <c r="E45" i="7"/>
  <c r="E61" i="7"/>
  <c r="E20" i="7"/>
  <c r="E33" i="7"/>
  <c r="E53" i="7"/>
  <c r="E21" i="7"/>
  <c r="E27" i="7"/>
  <c r="E34" i="7"/>
  <c r="E41" i="7"/>
  <c r="E47" i="7"/>
  <c r="E54" i="7"/>
  <c r="E65" i="7"/>
  <c r="E36" i="7"/>
  <c r="E32" i="7"/>
  <c r="E39" i="7"/>
  <c r="E52" i="7"/>
  <c r="E40" i="7"/>
  <c r="E22" i="7"/>
  <c r="E28" i="7"/>
  <c r="E35" i="7"/>
  <c r="E42" i="7"/>
  <c r="E48" i="7"/>
  <c r="E55" i="7"/>
  <c r="D68" i="7"/>
  <c r="E24" i="7"/>
  <c r="E31" i="7"/>
  <c r="E37" i="7"/>
  <c r="E50" i="7"/>
  <c r="E25" i="7"/>
  <c r="E58" i="7"/>
  <c r="E26" i="7"/>
  <c r="E46" i="7"/>
  <c r="E64" i="7"/>
  <c r="F64" i="7" s="1"/>
  <c r="E23" i="7"/>
  <c r="E29" i="7"/>
  <c r="E49" i="7"/>
  <c r="E56" i="7"/>
  <c r="E57" i="7"/>
  <c r="E44" i="7"/>
  <c r="B6" i="18"/>
  <c r="B5" i="18"/>
  <c r="F24" i="20"/>
  <c r="F57" i="20"/>
  <c r="F63" i="20"/>
  <c r="F42" i="20"/>
  <c r="F54" i="20"/>
  <c r="F50" i="20"/>
  <c r="F43" i="20"/>
  <c r="F39" i="20"/>
  <c r="F47" i="20"/>
  <c r="F20" i="20"/>
  <c r="F40" i="20"/>
  <c r="F29" i="20"/>
  <c r="F30" i="20"/>
  <c r="F33" i="20"/>
  <c r="F53" i="20"/>
  <c r="F22" i="20"/>
  <c r="F44" i="20"/>
  <c r="F26" i="20"/>
  <c r="F64" i="20"/>
  <c r="F37" i="20"/>
  <c r="F46" i="20"/>
  <c r="E47" i="11"/>
  <c r="E55" i="11"/>
  <c r="E63" i="11"/>
  <c r="D42" i="11"/>
  <c r="D50" i="11"/>
  <c r="D58" i="11"/>
  <c r="D66" i="11"/>
  <c r="E42" i="11"/>
  <c r="E50" i="11"/>
  <c r="E58" i="11"/>
  <c r="E66" i="11"/>
  <c r="E44" i="11"/>
  <c r="E52" i="11"/>
  <c r="E60" i="11"/>
  <c r="E68" i="11"/>
  <c r="F68" i="11" s="1"/>
  <c r="D61" i="9"/>
  <c r="E66" i="9"/>
  <c r="E68" i="9"/>
  <c r="D64" i="9"/>
  <c r="F42" i="9"/>
  <c r="E64" i="9"/>
  <c r="E65" i="8"/>
  <c r="E58" i="8"/>
  <c r="E59" i="8"/>
  <c r="D22" i="7"/>
  <c r="D29" i="7"/>
  <c r="D40" i="7"/>
  <c r="D47" i="7"/>
  <c r="D54" i="7"/>
  <c r="D61" i="7"/>
  <c r="E68" i="7"/>
  <c r="D23" i="7"/>
  <c r="D30" i="7"/>
  <c r="D37" i="7"/>
  <c r="D48" i="7"/>
  <c r="F48" i="7" s="1"/>
  <c r="D55" i="7"/>
  <c r="D62" i="7"/>
  <c r="D27" i="7"/>
  <c r="D34" i="7"/>
  <c r="D41" i="7"/>
  <c r="D52" i="7"/>
  <c r="D59" i="7"/>
  <c r="E62" i="7"/>
  <c r="D66" i="7"/>
  <c r="D20" i="7"/>
  <c r="D24" i="7"/>
  <c r="D31" i="7"/>
  <c r="D38" i="7"/>
  <c r="F38" i="7" s="1"/>
  <c r="D45" i="7"/>
  <c r="D56" i="7"/>
  <c r="E59" i="7"/>
  <c r="D63" i="7"/>
  <c r="E66" i="7"/>
  <c r="D51" i="7"/>
  <c r="D65" i="7"/>
  <c r="D28" i="7"/>
  <c r="D35" i="7"/>
  <c r="D42" i="7"/>
  <c r="D49" i="7"/>
  <c r="D60" i="7"/>
  <c r="E63" i="7"/>
  <c r="D67" i="7"/>
  <c r="D58" i="7"/>
  <c r="F58" i="7" s="1"/>
  <c r="D21" i="7"/>
  <c r="F21" i="7" s="1"/>
  <c r="D32" i="7"/>
  <c r="D39" i="7"/>
  <c r="D46" i="7"/>
  <c r="D53" i="7"/>
  <c r="E60" i="7"/>
  <c r="E67" i="7"/>
  <c r="C365" i="18"/>
  <c r="B365" i="18"/>
  <c r="D290" i="18"/>
  <c r="G290" i="18" s="1"/>
  <c r="E297" i="18"/>
  <c r="H297" i="18" s="1"/>
  <c r="D179" i="18"/>
  <c r="G179" i="18" s="1"/>
  <c r="D156" i="18"/>
  <c r="E177" i="18"/>
  <c r="H177" i="18" s="1"/>
  <c r="E156" i="18"/>
  <c r="H156" i="18" s="1"/>
  <c r="D113" i="18"/>
  <c r="G113" i="18" s="1"/>
  <c r="D95" i="18"/>
  <c r="C66" i="18"/>
  <c r="E95" i="18"/>
  <c r="H95" i="18" s="1"/>
  <c r="D34" i="18"/>
  <c r="E34" i="18"/>
  <c r="H34" i="18" s="1"/>
  <c r="C364" i="18"/>
  <c r="E96" i="18"/>
  <c r="H96" i="18" s="1"/>
  <c r="E173" i="18"/>
  <c r="H173" i="18" s="1"/>
  <c r="E100" i="18"/>
  <c r="H100" i="18" s="1"/>
  <c r="E159" i="18"/>
  <c r="H159" i="18" s="1"/>
  <c r="D176" i="18"/>
  <c r="G176" i="18" s="1"/>
  <c r="E104" i="18"/>
  <c r="H104" i="18" s="1"/>
  <c r="E162" i="18"/>
  <c r="H162" i="18" s="1"/>
  <c r="E108" i="18"/>
  <c r="H108" i="18" s="1"/>
  <c r="E164" i="18"/>
  <c r="H164" i="18" s="1"/>
  <c r="E170" i="18"/>
  <c r="H170" i="18" s="1"/>
  <c r="E172" i="18"/>
  <c r="H172" i="18" s="1"/>
  <c r="E157" i="18"/>
  <c r="H157" i="18" s="1"/>
  <c r="E112" i="18"/>
  <c r="H112" i="18" s="1"/>
  <c r="E165" i="18"/>
  <c r="H165" i="18" s="1"/>
  <c r="D44" i="18"/>
  <c r="G44" i="18" s="1"/>
  <c r="E167" i="18"/>
  <c r="H167" i="18" s="1"/>
  <c r="B364" i="18"/>
  <c r="D46" i="18"/>
  <c r="G46" i="18" s="1"/>
  <c r="D48" i="18"/>
  <c r="G48" i="18" s="1"/>
  <c r="D50" i="18"/>
  <c r="G50" i="18" s="1"/>
  <c r="D36" i="18"/>
  <c r="G36" i="18" s="1"/>
  <c r="D52" i="18"/>
  <c r="G52" i="18" s="1"/>
  <c r="D38" i="18"/>
  <c r="G38" i="18" s="1"/>
  <c r="D54" i="18"/>
  <c r="G54" i="18" s="1"/>
  <c r="D40" i="18"/>
  <c r="G40" i="18" s="1"/>
  <c r="D56" i="18"/>
  <c r="G56" i="18" s="1"/>
  <c r="D42" i="18"/>
  <c r="G42" i="18" s="1"/>
  <c r="D58" i="18"/>
  <c r="G58" i="18" s="1"/>
  <c r="E97" i="18"/>
  <c r="H97" i="18" s="1"/>
  <c r="E105" i="18"/>
  <c r="H105" i="18" s="1"/>
  <c r="E113" i="18"/>
  <c r="H113" i="18" s="1"/>
  <c r="E98" i="18"/>
  <c r="H98" i="18" s="1"/>
  <c r="E106" i="18"/>
  <c r="H106" i="18" s="1"/>
  <c r="D114" i="18"/>
  <c r="G114" i="18" s="1"/>
  <c r="E99" i="18"/>
  <c r="H99" i="18" s="1"/>
  <c r="E107" i="18"/>
  <c r="H107" i="18" s="1"/>
  <c r="D115" i="18"/>
  <c r="G115" i="18" s="1"/>
  <c r="D117" i="18"/>
  <c r="G117" i="18" s="1"/>
  <c r="E101" i="18"/>
  <c r="H101" i="18" s="1"/>
  <c r="E109" i="18"/>
  <c r="H109" i="18" s="1"/>
  <c r="D118" i="18"/>
  <c r="G118" i="18" s="1"/>
  <c r="B66" i="18"/>
  <c r="E102" i="18"/>
  <c r="H102" i="18" s="1"/>
  <c r="E110" i="18"/>
  <c r="H110" i="18" s="1"/>
  <c r="D119" i="18"/>
  <c r="G119" i="18" s="1"/>
  <c r="E103" i="18"/>
  <c r="H103" i="18" s="1"/>
  <c r="E111" i="18"/>
  <c r="H111" i="18" s="1"/>
  <c r="E158" i="18"/>
  <c r="H158" i="18" s="1"/>
  <c r="E166" i="18"/>
  <c r="H166" i="18" s="1"/>
  <c r="E174" i="18"/>
  <c r="H174" i="18" s="1"/>
  <c r="E160" i="18"/>
  <c r="H160" i="18" s="1"/>
  <c r="E168" i="18"/>
  <c r="H168" i="18" s="1"/>
  <c r="E161" i="18"/>
  <c r="H161" i="18" s="1"/>
  <c r="E169" i="18"/>
  <c r="H169" i="18" s="1"/>
  <c r="E163" i="18"/>
  <c r="H163" i="18" s="1"/>
  <c r="E171" i="18"/>
  <c r="H171" i="18" s="1"/>
  <c r="D281" i="18"/>
  <c r="G281" i="18" s="1"/>
  <c r="D292" i="18"/>
  <c r="G292" i="18" s="1"/>
  <c r="D396" i="18"/>
  <c r="G396" i="18" s="1"/>
  <c r="D406" i="18"/>
  <c r="G406" i="18" s="1"/>
  <c r="D398" i="18"/>
  <c r="G398" i="18" s="1"/>
  <c r="D408" i="18"/>
  <c r="G408" i="18" s="1"/>
  <c r="D412" i="18"/>
  <c r="G412" i="18" s="1"/>
  <c r="D400" i="18"/>
  <c r="G400" i="18" s="1"/>
  <c r="D410" i="18"/>
  <c r="G410" i="18" s="1"/>
  <c r="D402" i="18"/>
  <c r="G402" i="18" s="1"/>
  <c r="D414" i="18"/>
  <c r="G414" i="18" s="1"/>
  <c r="D394" i="18"/>
  <c r="G394" i="18" s="1"/>
  <c r="D404" i="18"/>
  <c r="G404" i="18" s="1"/>
  <c r="D416" i="18"/>
  <c r="G416" i="18" s="1"/>
  <c r="C305" i="18"/>
  <c r="D275" i="18"/>
  <c r="G275" i="18" s="1"/>
  <c r="D282" i="18"/>
  <c r="G282" i="18" s="1"/>
  <c r="E293" i="18"/>
  <c r="H293" i="18" s="1"/>
  <c r="D276" i="18"/>
  <c r="G276" i="18" s="1"/>
  <c r="D283" i="18"/>
  <c r="G283" i="18" s="1"/>
  <c r="E296" i="18"/>
  <c r="H296" i="18" s="1"/>
  <c r="E276" i="18"/>
  <c r="H276" i="18" s="1"/>
  <c r="E283" i="18"/>
  <c r="H283" i="18" s="1"/>
  <c r="D277" i="18"/>
  <c r="G277" i="18" s="1"/>
  <c r="D284" i="18"/>
  <c r="G284" i="18" s="1"/>
  <c r="D278" i="18"/>
  <c r="G278" i="18" s="1"/>
  <c r="E278" i="18"/>
  <c r="H278" i="18" s="1"/>
  <c r="E285" i="18"/>
  <c r="H285" i="18" s="1"/>
  <c r="D279" i="18"/>
  <c r="G279" i="18" s="1"/>
  <c r="D291" i="18"/>
  <c r="G291" i="18" s="1"/>
  <c r="E57" i="18"/>
  <c r="H57" i="18" s="1"/>
  <c r="E55" i="18"/>
  <c r="H55" i="18" s="1"/>
  <c r="E53" i="18"/>
  <c r="H53" i="18" s="1"/>
  <c r="E51" i="18"/>
  <c r="H51" i="18" s="1"/>
  <c r="E49" i="18"/>
  <c r="H49" i="18" s="1"/>
  <c r="E47" i="18"/>
  <c r="H47" i="18" s="1"/>
  <c r="E45" i="18"/>
  <c r="H45" i="18" s="1"/>
  <c r="E43" i="18"/>
  <c r="H43" i="18" s="1"/>
  <c r="E41" i="18"/>
  <c r="H41" i="18" s="1"/>
  <c r="E39" i="18"/>
  <c r="H39" i="18" s="1"/>
  <c r="E37" i="18"/>
  <c r="H37" i="18" s="1"/>
  <c r="E35" i="18"/>
  <c r="H35" i="18" s="1"/>
  <c r="C5" i="18"/>
  <c r="E58" i="18"/>
  <c r="H58" i="18" s="1"/>
  <c r="E56" i="18"/>
  <c r="H56" i="18" s="1"/>
  <c r="E54" i="18"/>
  <c r="H54" i="18" s="1"/>
  <c r="E52" i="18"/>
  <c r="H52" i="18" s="1"/>
  <c r="E50" i="18"/>
  <c r="H50" i="18" s="1"/>
  <c r="E48" i="18"/>
  <c r="H48" i="18" s="1"/>
  <c r="E46" i="18"/>
  <c r="H46" i="18" s="1"/>
  <c r="E44" i="18"/>
  <c r="H44" i="18" s="1"/>
  <c r="E42" i="18"/>
  <c r="H42" i="18" s="1"/>
  <c r="E40" i="18"/>
  <c r="H40" i="18" s="1"/>
  <c r="E38" i="18"/>
  <c r="H38" i="18" s="1"/>
  <c r="E36" i="18"/>
  <c r="H36" i="18" s="1"/>
  <c r="C6" i="18"/>
  <c r="D239" i="18"/>
  <c r="D237" i="18"/>
  <c r="D240" i="18"/>
  <c r="D236" i="18"/>
  <c r="D235" i="18"/>
  <c r="D221" i="18"/>
  <c r="D218" i="18"/>
  <c r="D238" i="18"/>
  <c r="D228" i="18"/>
  <c r="D224" i="18"/>
  <c r="D234" i="18"/>
  <c r="D231" i="18"/>
  <c r="D217" i="18"/>
  <c r="D230" i="18"/>
  <c r="D226" i="18"/>
  <c r="D232" i="18"/>
  <c r="D229" i="18"/>
  <c r="D223" i="18"/>
  <c r="D220" i="18"/>
  <c r="D233" i="18"/>
  <c r="D219" i="18"/>
  <c r="D216" i="18"/>
  <c r="D225" i="18"/>
  <c r="D222" i="18"/>
  <c r="B188" i="18"/>
  <c r="B187" i="18"/>
  <c r="D116" i="18"/>
  <c r="D174" i="18"/>
  <c r="D172" i="18"/>
  <c r="D170" i="18"/>
  <c r="D168" i="18"/>
  <c r="D166" i="18"/>
  <c r="D164" i="18"/>
  <c r="D162" i="18"/>
  <c r="D160" i="18"/>
  <c r="D158" i="18"/>
  <c r="D178" i="18"/>
  <c r="D173" i="18"/>
  <c r="D171" i="18"/>
  <c r="D169" i="18"/>
  <c r="D167" i="18"/>
  <c r="D165" i="18"/>
  <c r="D163" i="18"/>
  <c r="D161" i="18"/>
  <c r="D159" i="18"/>
  <c r="D157" i="18"/>
  <c r="D180" i="18"/>
  <c r="D177" i="18"/>
  <c r="D175" i="18"/>
  <c r="E239" i="18"/>
  <c r="H239" i="18" s="1"/>
  <c r="E237" i="18"/>
  <c r="H237" i="18" s="1"/>
  <c r="E235" i="18"/>
  <c r="H235" i="18" s="1"/>
  <c r="E240" i="18"/>
  <c r="H240" i="18" s="1"/>
  <c r="E238" i="18"/>
  <c r="H238" i="18" s="1"/>
  <c r="E236" i="18"/>
  <c r="H236" i="18" s="1"/>
  <c r="E234" i="18"/>
  <c r="H234" i="18" s="1"/>
  <c r="E232" i="18"/>
  <c r="H232" i="18" s="1"/>
  <c r="E230" i="18"/>
  <c r="H230" i="18" s="1"/>
  <c r="E228" i="18"/>
  <c r="H228" i="18" s="1"/>
  <c r="E225" i="18"/>
  <c r="H225" i="18" s="1"/>
  <c r="E223" i="18"/>
  <c r="H223" i="18" s="1"/>
  <c r="E221" i="18"/>
  <c r="H221" i="18" s="1"/>
  <c r="E219" i="18"/>
  <c r="H219" i="18" s="1"/>
  <c r="E217" i="18"/>
  <c r="H217" i="18" s="1"/>
  <c r="E224" i="18"/>
  <c r="H224" i="18" s="1"/>
  <c r="E231" i="18"/>
  <c r="H231" i="18" s="1"/>
  <c r="E220" i="18"/>
  <c r="H220" i="18" s="1"/>
  <c r="C187" i="18"/>
  <c r="E233" i="18"/>
  <c r="H233" i="18" s="1"/>
  <c r="E216" i="18"/>
  <c r="H216" i="18" s="1"/>
  <c r="E226" i="18"/>
  <c r="H226" i="18" s="1"/>
  <c r="C188" i="18"/>
  <c r="E218" i="18"/>
  <c r="H218" i="18" s="1"/>
  <c r="D96" i="18"/>
  <c r="D98" i="18"/>
  <c r="D100" i="18"/>
  <c r="D102" i="18"/>
  <c r="D104" i="18"/>
  <c r="D106" i="18"/>
  <c r="D108" i="18"/>
  <c r="D110" i="18"/>
  <c r="D112" i="18"/>
  <c r="E229" i="18"/>
  <c r="H229" i="18" s="1"/>
  <c r="D35" i="18"/>
  <c r="D37" i="18"/>
  <c r="D39" i="18"/>
  <c r="D41" i="18"/>
  <c r="D43" i="18"/>
  <c r="D45" i="18"/>
  <c r="D47" i="18"/>
  <c r="D49" i="18"/>
  <c r="D51" i="18"/>
  <c r="D53" i="18"/>
  <c r="D55" i="18"/>
  <c r="D57" i="18"/>
  <c r="B67" i="18"/>
  <c r="B127" i="18"/>
  <c r="E222" i="18"/>
  <c r="H222" i="18" s="1"/>
  <c r="E118" i="18"/>
  <c r="H118" i="18" s="1"/>
  <c r="E116" i="18"/>
  <c r="H116" i="18" s="1"/>
  <c r="E114" i="18"/>
  <c r="H114" i="18" s="1"/>
  <c r="E119" i="18"/>
  <c r="H119" i="18" s="1"/>
  <c r="E117" i="18"/>
  <c r="H117" i="18" s="1"/>
  <c r="E115" i="18"/>
  <c r="H115" i="18" s="1"/>
  <c r="C67" i="18"/>
  <c r="D97" i="18"/>
  <c r="D99" i="18"/>
  <c r="D101" i="18"/>
  <c r="D103" i="18"/>
  <c r="D105" i="18"/>
  <c r="D107" i="18"/>
  <c r="D109" i="18"/>
  <c r="D111" i="18"/>
  <c r="B128" i="18"/>
  <c r="C127" i="18"/>
  <c r="E179" i="18"/>
  <c r="H179" i="18" s="1"/>
  <c r="E175" i="18"/>
  <c r="H175" i="18" s="1"/>
  <c r="E180" i="18"/>
  <c r="H180" i="18" s="1"/>
  <c r="E178" i="18"/>
  <c r="H178" i="18" s="1"/>
  <c r="E176" i="18"/>
  <c r="H176" i="18" s="1"/>
  <c r="C128" i="18"/>
  <c r="B246" i="18"/>
  <c r="E279" i="18"/>
  <c r="H279" i="18" s="1"/>
  <c r="D280" i="18"/>
  <c r="G280" i="18" s="1"/>
  <c r="E281" i="18"/>
  <c r="H281" i="18" s="1"/>
  <c r="D294" i="18"/>
  <c r="G294" i="18" s="1"/>
  <c r="C246" i="18"/>
  <c r="D293" i="18"/>
  <c r="G293" i="18" s="1"/>
  <c r="E294" i="18"/>
  <c r="H294" i="18" s="1"/>
  <c r="E275" i="18"/>
  <c r="H275" i="18" s="1"/>
  <c r="E277" i="18"/>
  <c r="H277" i="18" s="1"/>
  <c r="D289" i="18"/>
  <c r="G289" i="18" s="1"/>
  <c r="E291" i="18"/>
  <c r="H291" i="18" s="1"/>
  <c r="D299" i="18"/>
  <c r="G299" i="18" s="1"/>
  <c r="D298" i="18"/>
  <c r="G298" i="18" s="1"/>
  <c r="D295" i="18"/>
  <c r="G295" i="18" s="1"/>
  <c r="D297" i="18"/>
  <c r="G297" i="18" s="1"/>
  <c r="B247" i="18"/>
  <c r="D287" i="18"/>
  <c r="G287" i="18" s="1"/>
  <c r="D288" i="18"/>
  <c r="G288" i="18" s="1"/>
  <c r="E289" i="18"/>
  <c r="H289" i="18" s="1"/>
  <c r="E298" i="18"/>
  <c r="H298" i="18" s="1"/>
  <c r="E299" i="18"/>
  <c r="H299" i="18" s="1"/>
  <c r="E295" i="18"/>
  <c r="H295" i="18" s="1"/>
  <c r="E292" i="18"/>
  <c r="H292" i="18" s="1"/>
  <c r="E290" i="18"/>
  <c r="H290" i="18" s="1"/>
  <c r="E288" i="18"/>
  <c r="H288" i="18" s="1"/>
  <c r="E286" i="18"/>
  <c r="H286" i="18" s="1"/>
  <c r="E284" i="18"/>
  <c r="H284" i="18" s="1"/>
  <c r="E282" i="18"/>
  <c r="H282" i="18" s="1"/>
  <c r="E280" i="18"/>
  <c r="H280" i="18" s="1"/>
  <c r="C247" i="18"/>
  <c r="D285" i="18"/>
  <c r="G285" i="18" s="1"/>
  <c r="D286" i="18"/>
  <c r="G286" i="18" s="1"/>
  <c r="E287" i="18"/>
  <c r="H287" i="18" s="1"/>
  <c r="D296" i="18"/>
  <c r="G296" i="18" s="1"/>
  <c r="B306" i="18"/>
  <c r="B305" i="18"/>
  <c r="C306" i="18"/>
  <c r="E394" i="18"/>
  <c r="H394" i="18" s="1"/>
  <c r="E396" i="18"/>
  <c r="H396" i="18" s="1"/>
  <c r="E398" i="18"/>
  <c r="H398" i="18" s="1"/>
  <c r="E400" i="18"/>
  <c r="E402" i="18"/>
  <c r="E404" i="18"/>
  <c r="H404" i="18" s="1"/>
  <c r="E406" i="18"/>
  <c r="H406" i="18" s="1"/>
  <c r="E408" i="18"/>
  <c r="E410" i="18"/>
  <c r="H410" i="18" s="1"/>
  <c r="E412" i="18"/>
  <c r="H412" i="18" s="1"/>
  <c r="E414" i="18"/>
  <c r="H414" i="18" s="1"/>
  <c r="E416" i="18"/>
  <c r="D393" i="18"/>
  <c r="D395" i="18"/>
  <c r="D397" i="18"/>
  <c r="D399" i="18"/>
  <c r="D401" i="18"/>
  <c r="D403" i="18"/>
  <c r="D405" i="18"/>
  <c r="D407" i="18"/>
  <c r="D409" i="18"/>
  <c r="D411" i="18"/>
  <c r="D413" i="18"/>
  <c r="D415" i="18"/>
  <c r="D417" i="18"/>
  <c r="E393" i="18"/>
  <c r="H393" i="18" s="1"/>
  <c r="E395" i="18"/>
  <c r="H395" i="18" s="1"/>
  <c r="E397" i="18"/>
  <c r="H397" i="18" s="1"/>
  <c r="E399" i="18"/>
  <c r="H399" i="18" s="1"/>
  <c r="E401" i="18"/>
  <c r="H401" i="18" s="1"/>
  <c r="E403" i="18"/>
  <c r="H403" i="18" s="1"/>
  <c r="E405" i="18"/>
  <c r="H405" i="18" s="1"/>
  <c r="E407" i="18"/>
  <c r="H407" i="18" s="1"/>
  <c r="E409" i="18"/>
  <c r="H409" i="18" s="1"/>
  <c r="E411" i="18"/>
  <c r="H411" i="18" s="1"/>
  <c r="E413" i="18"/>
  <c r="H413" i="18" s="1"/>
  <c r="E415" i="18"/>
  <c r="H415" i="18" s="1"/>
  <c r="E417" i="18"/>
  <c r="H417" i="18" s="1"/>
  <c r="F55" i="17"/>
  <c r="D26" i="17"/>
  <c r="F26" i="17" s="1"/>
  <c r="D34" i="17"/>
  <c r="F34" i="17" s="1"/>
  <c r="D42" i="17"/>
  <c r="F42" i="17" s="1"/>
  <c r="E47" i="17"/>
  <c r="F47" i="17" s="1"/>
  <c r="D50" i="17"/>
  <c r="F50" i="17" s="1"/>
  <c r="E55" i="17"/>
  <c r="D58" i="17"/>
  <c r="F58" i="17" s="1"/>
  <c r="E63" i="17"/>
  <c r="F63" i="17" s="1"/>
  <c r="D66" i="17"/>
  <c r="F66" i="17" s="1"/>
  <c r="D24" i="17"/>
  <c r="F24" i="17" s="1"/>
  <c r="D32" i="17"/>
  <c r="D40" i="17"/>
  <c r="D48" i="17"/>
  <c r="F48" i="17" s="1"/>
  <c r="D56" i="17"/>
  <c r="D64" i="17"/>
  <c r="D19" i="17"/>
  <c r="E24" i="17"/>
  <c r="D27" i="17"/>
  <c r="F27" i="17" s="1"/>
  <c r="E32" i="17"/>
  <c r="D35" i="17"/>
  <c r="F35" i="17" s="1"/>
  <c r="E40" i="17"/>
  <c r="D43" i="17"/>
  <c r="E48" i="17"/>
  <c r="D51" i="17"/>
  <c r="E56" i="17"/>
  <c r="D59" i="17"/>
  <c r="F59" i="17" s="1"/>
  <c r="E64" i="17"/>
  <c r="D67" i="17"/>
  <c r="F67" i="17" s="1"/>
  <c r="B73" i="17"/>
  <c r="D53" i="17"/>
  <c r="F53" i="17" s="1"/>
  <c r="E19" i="17"/>
  <c r="D22" i="17"/>
  <c r="F22" i="17" s="1"/>
  <c r="E27" i="17"/>
  <c r="D30" i="17"/>
  <c r="F30" i="17" s="1"/>
  <c r="E35" i="17"/>
  <c r="D38" i="17"/>
  <c r="F38" i="17" s="1"/>
  <c r="E43" i="17"/>
  <c r="D46" i="17"/>
  <c r="E51" i="17"/>
  <c r="D54" i="17"/>
  <c r="F54" i="17" s="1"/>
  <c r="E59" i="17"/>
  <c r="D62" i="17"/>
  <c r="F62" i="17" s="1"/>
  <c r="E67" i="17"/>
  <c r="C73" i="17"/>
  <c r="D61" i="17"/>
  <c r="F61" i="17" s="1"/>
  <c r="E22" i="17"/>
  <c r="D25" i="17"/>
  <c r="F25" i="17" s="1"/>
  <c r="E30" i="17"/>
  <c r="D33" i="17"/>
  <c r="F33" i="17" s="1"/>
  <c r="E38" i="17"/>
  <c r="D41" i="17"/>
  <c r="F41" i="17" s="1"/>
  <c r="E46" i="17"/>
  <c r="D49" i="17"/>
  <c r="F49" i="17" s="1"/>
  <c r="E54" i="17"/>
  <c r="D57" i="17"/>
  <c r="E62" i="17"/>
  <c r="D65" i="17"/>
  <c r="B74" i="17"/>
  <c r="D20" i="17"/>
  <c r="F20" i="17" s="1"/>
  <c r="D28" i="17"/>
  <c r="F28" i="17" s="1"/>
  <c r="D36" i="17"/>
  <c r="F36" i="17" s="1"/>
  <c r="E41" i="17"/>
  <c r="D44" i="17"/>
  <c r="F44" i="17" s="1"/>
  <c r="E49" i="17"/>
  <c r="D52" i="17"/>
  <c r="F52" i="17" s="1"/>
  <c r="E57" i="17"/>
  <c r="D60" i="17"/>
  <c r="F60" i="17" s="1"/>
  <c r="E65" i="17"/>
  <c r="F67" i="16"/>
  <c r="F46" i="16"/>
  <c r="D54" i="16"/>
  <c r="E59" i="16"/>
  <c r="F59" i="16" s="1"/>
  <c r="D62" i="16"/>
  <c r="E67" i="16"/>
  <c r="C73" i="16"/>
  <c r="E22" i="16"/>
  <c r="F22" i="16" s="1"/>
  <c r="D25" i="16"/>
  <c r="F25" i="16" s="1"/>
  <c r="E30" i="16"/>
  <c r="F30" i="16" s="1"/>
  <c r="D33" i="16"/>
  <c r="E38" i="16"/>
  <c r="F38" i="16" s="1"/>
  <c r="D41" i="16"/>
  <c r="E46" i="16"/>
  <c r="D49" i="16"/>
  <c r="E54" i="16"/>
  <c r="D57" i="16"/>
  <c r="F57" i="16" s="1"/>
  <c r="E62" i="16"/>
  <c r="D65" i="16"/>
  <c r="B74" i="16"/>
  <c r="D20" i="16"/>
  <c r="F20" i="16" s="1"/>
  <c r="E25" i="16"/>
  <c r="D28" i="16"/>
  <c r="F28" i="16" s="1"/>
  <c r="E33" i="16"/>
  <c r="D36" i="16"/>
  <c r="F36" i="16" s="1"/>
  <c r="E41" i="16"/>
  <c r="D44" i="16"/>
  <c r="F44" i="16" s="1"/>
  <c r="E49" i="16"/>
  <c r="D52" i="16"/>
  <c r="F52" i="16" s="1"/>
  <c r="E57" i="16"/>
  <c r="D60" i="16"/>
  <c r="F60" i="16" s="1"/>
  <c r="E65" i="16"/>
  <c r="D31" i="15"/>
  <c r="D39" i="15"/>
  <c r="D47" i="15"/>
  <c r="F47" i="15" s="1"/>
  <c r="D55" i="15"/>
  <c r="D63" i="15"/>
  <c r="F63" i="15" s="1"/>
  <c r="E23" i="15"/>
  <c r="F23" i="15" s="1"/>
  <c r="D26" i="15"/>
  <c r="F26" i="15" s="1"/>
  <c r="E31" i="15"/>
  <c r="D34" i="15"/>
  <c r="F34" i="15" s="1"/>
  <c r="E39" i="15"/>
  <c r="D42" i="15"/>
  <c r="F42" i="15" s="1"/>
  <c r="E47" i="15"/>
  <c r="D50" i="15"/>
  <c r="F50" i="15" s="1"/>
  <c r="E55" i="15"/>
  <c r="D58" i="15"/>
  <c r="F58" i="15" s="1"/>
  <c r="E63" i="15"/>
  <c r="D66" i="15"/>
  <c r="F66" i="15" s="1"/>
  <c r="D29" i="15"/>
  <c r="F29" i="15" s="1"/>
  <c r="D37" i="15"/>
  <c r="F37" i="15" s="1"/>
  <c r="D24" i="15"/>
  <c r="D32" i="15"/>
  <c r="D40" i="15"/>
  <c r="D48" i="15"/>
  <c r="F48" i="15" s="1"/>
  <c r="D56" i="15"/>
  <c r="D64" i="15"/>
  <c r="D21" i="15"/>
  <c r="F21" i="15" s="1"/>
  <c r="D61" i="15"/>
  <c r="F61" i="15" s="1"/>
  <c r="D19" i="15"/>
  <c r="E24" i="15"/>
  <c r="D27" i="15"/>
  <c r="E32" i="15"/>
  <c r="D35" i="15"/>
  <c r="E40" i="15"/>
  <c r="D43" i="15"/>
  <c r="E48" i="15"/>
  <c r="D51" i="15"/>
  <c r="E56" i="15"/>
  <c r="D59" i="15"/>
  <c r="E64" i="15"/>
  <c r="D67" i="15"/>
  <c r="B73" i="15"/>
  <c r="D45" i="15"/>
  <c r="F45" i="15" s="1"/>
  <c r="D53" i="15"/>
  <c r="F53" i="15" s="1"/>
  <c r="E19" i="15"/>
  <c r="D22" i="15"/>
  <c r="F22" i="15" s="1"/>
  <c r="E27" i="15"/>
  <c r="D30" i="15"/>
  <c r="F30" i="15" s="1"/>
  <c r="E35" i="15"/>
  <c r="D38" i="15"/>
  <c r="F38" i="15" s="1"/>
  <c r="E43" i="15"/>
  <c r="D46" i="15"/>
  <c r="F46" i="15" s="1"/>
  <c r="E51" i="15"/>
  <c r="D54" i="15"/>
  <c r="F54" i="15" s="1"/>
  <c r="E59" i="15"/>
  <c r="D62" i="15"/>
  <c r="F62" i="15" s="1"/>
  <c r="E67" i="15"/>
  <c r="C73" i="15"/>
  <c r="E22" i="15"/>
  <c r="D25" i="15"/>
  <c r="F25" i="15" s="1"/>
  <c r="E30" i="15"/>
  <c r="D33" i="15"/>
  <c r="F33" i="15" s="1"/>
  <c r="E38" i="15"/>
  <c r="D41" i="15"/>
  <c r="F41" i="15" s="1"/>
  <c r="E46" i="15"/>
  <c r="D49" i="15"/>
  <c r="F49" i="15" s="1"/>
  <c r="E54" i="15"/>
  <c r="D57" i="15"/>
  <c r="F57" i="15" s="1"/>
  <c r="E62" i="15"/>
  <c r="D65" i="15"/>
  <c r="F65" i="15" s="1"/>
  <c r="B74" i="15"/>
  <c r="D20" i="15"/>
  <c r="F20" i="15" s="1"/>
  <c r="E25" i="15"/>
  <c r="D28" i="15"/>
  <c r="F28" i="15" s="1"/>
  <c r="E33" i="15"/>
  <c r="D36" i="15"/>
  <c r="F36" i="15" s="1"/>
  <c r="E41" i="15"/>
  <c r="D44" i="15"/>
  <c r="F44" i="15" s="1"/>
  <c r="E49" i="15"/>
  <c r="D52" i="15"/>
  <c r="F52" i="15" s="1"/>
  <c r="E57" i="15"/>
  <c r="D60" i="15"/>
  <c r="F60" i="15" s="1"/>
  <c r="E65" i="15"/>
  <c r="F48" i="14"/>
  <c r="F64" i="14"/>
  <c r="F19" i="14"/>
  <c r="E24" i="14"/>
  <c r="F24" i="14" s="1"/>
  <c r="D27" i="14"/>
  <c r="E32" i="14"/>
  <c r="F32" i="14" s="1"/>
  <c r="D35" i="14"/>
  <c r="F35" i="14" s="1"/>
  <c r="E40" i="14"/>
  <c r="F40" i="14" s="1"/>
  <c r="D43" i="14"/>
  <c r="E48" i="14"/>
  <c r="D51" i="14"/>
  <c r="F51" i="14" s="1"/>
  <c r="E56" i="14"/>
  <c r="F56" i="14" s="1"/>
  <c r="D59" i="14"/>
  <c r="E64" i="14"/>
  <c r="D67" i="14"/>
  <c r="F67" i="14" s="1"/>
  <c r="B73" i="14"/>
  <c r="E19" i="14"/>
  <c r="D22" i="14"/>
  <c r="E27" i="14"/>
  <c r="D30" i="14"/>
  <c r="F30" i="14" s="1"/>
  <c r="E35" i="14"/>
  <c r="D38" i="14"/>
  <c r="E43" i="14"/>
  <c r="D46" i="14"/>
  <c r="F46" i="14" s="1"/>
  <c r="E51" i="14"/>
  <c r="D54" i="14"/>
  <c r="E59" i="14"/>
  <c r="D62" i="14"/>
  <c r="F62" i="14" s="1"/>
  <c r="E67" i="14"/>
  <c r="C73" i="14"/>
  <c r="E22" i="14"/>
  <c r="D25" i="14"/>
  <c r="F25" i="14" s="1"/>
  <c r="E30" i="14"/>
  <c r="D33" i="14"/>
  <c r="E38" i="14"/>
  <c r="D41" i="14"/>
  <c r="F41" i="14" s="1"/>
  <c r="E46" i="14"/>
  <c r="D49" i="14"/>
  <c r="E54" i="14"/>
  <c r="D57" i="14"/>
  <c r="F57" i="14" s="1"/>
  <c r="E62" i="14"/>
  <c r="D65" i="14"/>
  <c r="B74" i="14"/>
  <c r="D20" i="14"/>
  <c r="F20" i="14" s="1"/>
  <c r="E25" i="14"/>
  <c r="D28" i="14"/>
  <c r="F28" i="14" s="1"/>
  <c r="E33" i="14"/>
  <c r="D36" i="14"/>
  <c r="F36" i="14" s="1"/>
  <c r="E41" i="14"/>
  <c r="D44" i="14"/>
  <c r="F44" i="14" s="1"/>
  <c r="E49" i="14"/>
  <c r="D52" i="14"/>
  <c r="F52" i="14" s="1"/>
  <c r="E57" i="14"/>
  <c r="D60" i="14"/>
  <c r="F60" i="14" s="1"/>
  <c r="E65" i="14"/>
  <c r="F27" i="13"/>
  <c r="F59" i="13"/>
  <c r="F35" i="13"/>
  <c r="E19" i="13"/>
  <c r="F19" i="13" s="1"/>
  <c r="D22" i="13"/>
  <c r="E27" i="13"/>
  <c r="D30" i="13"/>
  <c r="E35" i="13"/>
  <c r="D38" i="13"/>
  <c r="E43" i="13"/>
  <c r="F43" i="13" s="1"/>
  <c r="D46" i="13"/>
  <c r="F46" i="13" s="1"/>
  <c r="E51" i="13"/>
  <c r="F51" i="13" s="1"/>
  <c r="D54" i="13"/>
  <c r="E59" i="13"/>
  <c r="D62" i="13"/>
  <c r="E67" i="13"/>
  <c r="F67" i="13" s="1"/>
  <c r="C73" i="13"/>
  <c r="E22" i="13"/>
  <c r="D25" i="13"/>
  <c r="F25" i="13" s="1"/>
  <c r="E30" i="13"/>
  <c r="D33" i="13"/>
  <c r="E38" i="13"/>
  <c r="D41" i="13"/>
  <c r="E46" i="13"/>
  <c r="D49" i="13"/>
  <c r="F49" i="13" s="1"/>
  <c r="E54" i="13"/>
  <c r="D57" i="13"/>
  <c r="F57" i="13" s="1"/>
  <c r="E62" i="13"/>
  <c r="D65" i="13"/>
  <c r="B74" i="13"/>
  <c r="D20" i="13"/>
  <c r="F20" i="13" s="1"/>
  <c r="E25" i="13"/>
  <c r="D28" i="13"/>
  <c r="F28" i="13" s="1"/>
  <c r="E33" i="13"/>
  <c r="D36" i="13"/>
  <c r="F36" i="13" s="1"/>
  <c r="E41" i="13"/>
  <c r="D44" i="13"/>
  <c r="F44" i="13" s="1"/>
  <c r="E49" i="13"/>
  <c r="D52" i="13"/>
  <c r="F52" i="13" s="1"/>
  <c r="E57" i="13"/>
  <c r="D60" i="13"/>
  <c r="F60" i="13" s="1"/>
  <c r="E65" i="13"/>
  <c r="E20" i="12"/>
  <c r="D23" i="12"/>
  <c r="E28" i="12"/>
  <c r="D31" i="12"/>
  <c r="F31" i="12" s="1"/>
  <c r="E36" i="12"/>
  <c r="D39" i="12"/>
  <c r="F39" i="12" s="1"/>
  <c r="E44" i="12"/>
  <c r="D47" i="12"/>
  <c r="E52" i="12"/>
  <c r="D55" i="12"/>
  <c r="E60" i="12"/>
  <c r="D63" i="12"/>
  <c r="F63" i="12" s="1"/>
  <c r="E68" i="12"/>
  <c r="F68" i="12" s="1"/>
  <c r="E23" i="12"/>
  <c r="D26" i="12"/>
  <c r="F26" i="12" s="1"/>
  <c r="E31" i="12"/>
  <c r="D34" i="12"/>
  <c r="F34" i="12" s="1"/>
  <c r="E39" i="12"/>
  <c r="D42" i="12"/>
  <c r="E47" i="12"/>
  <c r="D50" i="12"/>
  <c r="E55" i="12"/>
  <c r="D58" i="12"/>
  <c r="F58" i="12" s="1"/>
  <c r="E63" i="12"/>
  <c r="D66" i="12"/>
  <c r="D19" i="12"/>
  <c r="E24" i="12"/>
  <c r="D27" i="12"/>
  <c r="F27" i="12" s="1"/>
  <c r="E32" i="12"/>
  <c r="D35" i="12"/>
  <c r="F35" i="12" s="1"/>
  <c r="E40" i="12"/>
  <c r="D43" i="12"/>
  <c r="E48" i="12"/>
  <c r="D51" i="12"/>
  <c r="E56" i="12"/>
  <c r="D59" i="12"/>
  <c r="F59" i="12" s="1"/>
  <c r="E64" i="12"/>
  <c r="D67" i="12"/>
  <c r="F67" i="12" s="1"/>
  <c r="B73" i="12"/>
  <c r="D21" i="12"/>
  <c r="D29" i="12"/>
  <c r="D37" i="12"/>
  <c r="D45" i="12"/>
  <c r="E58" i="12"/>
  <c r="E21" i="12"/>
  <c r="D48" i="12"/>
  <c r="F48" i="12" s="1"/>
  <c r="E19" i="12"/>
  <c r="D22" i="12"/>
  <c r="E27" i="12"/>
  <c r="D30" i="12"/>
  <c r="F30" i="12" s="1"/>
  <c r="E35" i="12"/>
  <c r="D38" i="12"/>
  <c r="E43" i="12"/>
  <c r="D46" i="12"/>
  <c r="E51" i="12"/>
  <c r="D54" i="12"/>
  <c r="E59" i="12"/>
  <c r="D62" i="12"/>
  <c r="F62" i="12" s="1"/>
  <c r="E67" i="12"/>
  <c r="C73" i="12"/>
  <c r="D24" i="12"/>
  <c r="F24" i="12" s="1"/>
  <c r="D32" i="12"/>
  <c r="F32" i="12" s="1"/>
  <c r="D56" i="12"/>
  <c r="F56" i="12" s="1"/>
  <c r="D64" i="12"/>
  <c r="E22" i="12"/>
  <c r="D25" i="12"/>
  <c r="E30" i="12"/>
  <c r="D33" i="12"/>
  <c r="E38" i="12"/>
  <c r="D41" i="12"/>
  <c r="E46" i="12"/>
  <c r="D49" i="12"/>
  <c r="E54" i="12"/>
  <c r="D57" i="12"/>
  <c r="E62" i="12"/>
  <c r="D65" i="12"/>
  <c r="B74" i="12"/>
  <c r="E42" i="12"/>
  <c r="E50" i="12"/>
  <c r="D53" i="12"/>
  <c r="D61" i="12"/>
  <c r="F61" i="12" s="1"/>
  <c r="E66" i="12"/>
  <c r="E29" i="12"/>
  <c r="E37" i="12"/>
  <c r="D40" i="12"/>
  <c r="E45" i="12"/>
  <c r="E53" i="12"/>
  <c r="E61" i="12"/>
  <c r="D20" i="12"/>
  <c r="F20" i="12" s="1"/>
  <c r="E25" i="12"/>
  <c r="D28" i="12"/>
  <c r="F28" i="12" s="1"/>
  <c r="E33" i="12"/>
  <c r="D36" i="12"/>
  <c r="F36" i="12" s="1"/>
  <c r="E41" i="12"/>
  <c r="D44" i="12"/>
  <c r="F44" i="12" s="1"/>
  <c r="E49" i="12"/>
  <c r="D52" i="12"/>
  <c r="F52" i="12" s="1"/>
  <c r="E57" i="12"/>
  <c r="D60" i="12"/>
  <c r="F60" i="12" s="1"/>
  <c r="E65" i="12"/>
  <c r="D43" i="11"/>
  <c r="E48" i="11"/>
  <c r="D51" i="11"/>
  <c r="E56" i="11"/>
  <c r="D59" i="11"/>
  <c r="E64" i="11"/>
  <c r="D67" i="11"/>
  <c r="E43" i="11"/>
  <c r="D46" i="11"/>
  <c r="E51" i="11"/>
  <c r="D54" i="11"/>
  <c r="E59" i="11"/>
  <c r="D62" i="11"/>
  <c r="E67" i="11"/>
  <c r="D41" i="11"/>
  <c r="F41" i="11" s="1"/>
  <c r="E46" i="11"/>
  <c r="D49" i="11"/>
  <c r="E54" i="11"/>
  <c r="D57" i="11"/>
  <c r="E62" i="11"/>
  <c r="D65" i="11"/>
  <c r="D44" i="11"/>
  <c r="E49" i="11"/>
  <c r="D52" i="11"/>
  <c r="E57" i="11"/>
  <c r="D60" i="11"/>
  <c r="E65" i="11"/>
  <c r="E29" i="10"/>
  <c r="E45" i="10"/>
  <c r="D64" i="10"/>
  <c r="E20" i="10"/>
  <c r="D23" i="10"/>
  <c r="E28" i="10"/>
  <c r="D31" i="10"/>
  <c r="E36" i="10"/>
  <c r="D39" i="10"/>
  <c r="E44" i="10"/>
  <c r="D47" i="10"/>
  <c r="E52" i="10"/>
  <c r="D55" i="10"/>
  <c r="E60" i="10"/>
  <c r="D63" i="10"/>
  <c r="E68" i="10"/>
  <c r="F68" i="10" s="1"/>
  <c r="D21" i="10"/>
  <c r="E26" i="10"/>
  <c r="D37" i="10"/>
  <c r="D45" i="10"/>
  <c r="E50" i="10"/>
  <c r="E58" i="10"/>
  <c r="E66" i="10"/>
  <c r="D32" i="10"/>
  <c r="D48" i="10"/>
  <c r="E53" i="10"/>
  <c r="E23" i="10"/>
  <c r="D26" i="10"/>
  <c r="E31" i="10"/>
  <c r="D34" i="10"/>
  <c r="E39" i="10"/>
  <c r="D42" i="10"/>
  <c r="E47" i="10"/>
  <c r="D50" i="10"/>
  <c r="E55" i="10"/>
  <c r="D58" i="10"/>
  <c r="F58" i="10" s="1"/>
  <c r="E63" i="10"/>
  <c r="D66" i="10"/>
  <c r="D19" i="10"/>
  <c r="E24" i="10"/>
  <c r="D27" i="10"/>
  <c r="E32" i="10"/>
  <c r="D35" i="10"/>
  <c r="E40" i="10"/>
  <c r="D43" i="10"/>
  <c r="E48" i="10"/>
  <c r="D51" i="10"/>
  <c r="E56" i="10"/>
  <c r="D59" i="10"/>
  <c r="E64" i="10"/>
  <c r="D67" i="10"/>
  <c r="E34" i="10"/>
  <c r="E42" i="10"/>
  <c r="D24" i="10"/>
  <c r="D40" i="10"/>
  <c r="E19" i="10"/>
  <c r="D22" i="10"/>
  <c r="E27" i="10"/>
  <c r="D30" i="10"/>
  <c r="E35" i="10"/>
  <c r="D38" i="10"/>
  <c r="E43" i="10"/>
  <c r="D46" i="10"/>
  <c r="E51" i="10"/>
  <c r="D54" i="10"/>
  <c r="E59" i="10"/>
  <c r="D62" i="10"/>
  <c r="E67" i="10"/>
  <c r="E61" i="10"/>
  <c r="E22" i="10"/>
  <c r="D25" i="10"/>
  <c r="E30" i="10"/>
  <c r="D33" i="10"/>
  <c r="E38" i="10"/>
  <c r="D41" i="10"/>
  <c r="E46" i="10"/>
  <c r="D49" i="10"/>
  <c r="E54" i="10"/>
  <c r="D57" i="10"/>
  <c r="E62" i="10"/>
  <c r="D65" i="10"/>
  <c r="D29" i="10"/>
  <c r="D53" i="10"/>
  <c r="D61" i="10"/>
  <c r="F61" i="10" s="1"/>
  <c r="E21" i="10"/>
  <c r="E37" i="10"/>
  <c r="D56" i="10"/>
  <c r="D20" i="10"/>
  <c r="E25" i="10"/>
  <c r="D28" i="10"/>
  <c r="F28" i="10" s="1"/>
  <c r="E33" i="10"/>
  <c r="D36" i="10"/>
  <c r="F36" i="10" s="1"/>
  <c r="E41" i="10"/>
  <c r="D44" i="10"/>
  <c r="E49" i="10"/>
  <c r="D52" i="10"/>
  <c r="E57" i="10"/>
  <c r="D60" i="10"/>
  <c r="F60" i="10" s="1"/>
  <c r="E65" i="10"/>
  <c r="E19" i="9"/>
  <c r="F19" i="9" s="1"/>
  <c r="D22" i="9"/>
  <c r="E27" i="9"/>
  <c r="D30" i="9"/>
  <c r="E35" i="9"/>
  <c r="D38" i="9"/>
  <c r="E43" i="9"/>
  <c r="D46" i="9"/>
  <c r="E51" i="9"/>
  <c r="D54" i="9"/>
  <c r="E59" i="9"/>
  <c r="D62" i="9"/>
  <c r="E67" i="9"/>
  <c r="F67" i="9" s="1"/>
  <c r="E22" i="9"/>
  <c r="D25" i="9"/>
  <c r="E30" i="9"/>
  <c r="D33" i="9"/>
  <c r="E38" i="9"/>
  <c r="D41" i="9"/>
  <c r="E46" i="9"/>
  <c r="D49" i="9"/>
  <c r="E54" i="9"/>
  <c r="D57" i="9"/>
  <c r="E62" i="9"/>
  <c r="D65" i="9"/>
  <c r="D20" i="9"/>
  <c r="F20" i="9" s="1"/>
  <c r="E25" i="9"/>
  <c r="D28" i="9"/>
  <c r="F28" i="9" s="1"/>
  <c r="E33" i="9"/>
  <c r="D36" i="9"/>
  <c r="F36" i="9" s="1"/>
  <c r="E41" i="9"/>
  <c r="D44" i="9"/>
  <c r="F44" i="9" s="1"/>
  <c r="E49" i="9"/>
  <c r="D52" i="9"/>
  <c r="F52" i="9" s="1"/>
  <c r="E57" i="9"/>
  <c r="D60" i="9"/>
  <c r="F60" i="9" s="1"/>
  <c r="E65" i="9"/>
  <c r="D23" i="8"/>
  <c r="F23" i="8" s="1"/>
  <c r="E28" i="8"/>
  <c r="D31" i="8"/>
  <c r="E36" i="8"/>
  <c r="D39" i="8"/>
  <c r="E44" i="8"/>
  <c r="D47" i="8"/>
  <c r="E52" i="8"/>
  <c r="D55" i="8"/>
  <c r="E60" i="8"/>
  <c r="D63" i="8"/>
  <c r="E68" i="8"/>
  <c r="D28" i="8"/>
  <c r="D36" i="8"/>
  <c r="D44" i="8"/>
  <c r="D52" i="8"/>
  <c r="F52" i="8" s="1"/>
  <c r="D60" i="8"/>
  <c r="D68" i="8"/>
  <c r="D26" i="8"/>
  <c r="E31" i="8"/>
  <c r="D34" i="8"/>
  <c r="F34" i="8" s="1"/>
  <c r="E39" i="8"/>
  <c r="D42" i="8"/>
  <c r="F42" i="8" s="1"/>
  <c r="E47" i="8"/>
  <c r="D50" i="8"/>
  <c r="F50" i="8" s="1"/>
  <c r="E55" i="8"/>
  <c r="D58" i="8"/>
  <c r="E63" i="8"/>
  <c r="D66" i="8"/>
  <c r="D45" i="8"/>
  <c r="D53" i="8"/>
  <c r="D61" i="8"/>
  <c r="F61" i="8" s="1"/>
  <c r="D24" i="8"/>
  <c r="F24" i="8" s="1"/>
  <c r="D32" i="8"/>
  <c r="D40" i="8"/>
  <c r="D48" i="8"/>
  <c r="D56" i="8"/>
  <c r="D64" i="8"/>
  <c r="D19" i="8"/>
  <c r="F19" i="8" s="1"/>
  <c r="D27" i="8"/>
  <c r="F27" i="8" s="1"/>
  <c r="D35" i="8"/>
  <c r="F35" i="8" s="1"/>
  <c r="E40" i="8"/>
  <c r="D43" i="8"/>
  <c r="E48" i="8"/>
  <c r="D51" i="8"/>
  <c r="E56" i="8"/>
  <c r="D59" i="8"/>
  <c r="E64" i="8"/>
  <c r="D67" i="8"/>
  <c r="F67" i="8" s="1"/>
  <c r="D46" i="8"/>
  <c r="D54" i="8"/>
  <c r="D62" i="8"/>
  <c r="F62" i="8" s="1"/>
  <c r="E22" i="8"/>
  <c r="F22" i="8" s="1"/>
  <c r="D25" i="8"/>
  <c r="F25" i="8" s="1"/>
  <c r="E30" i="8"/>
  <c r="F30" i="8" s="1"/>
  <c r="D33" i="8"/>
  <c r="E38" i="8"/>
  <c r="F38" i="8" s="1"/>
  <c r="D41" i="8"/>
  <c r="E46" i="8"/>
  <c r="D49" i="8"/>
  <c r="E54" i="8"/>
  <c r="D57" i="8"/>
  <c r="D65" i="8"/>
  <c r="D38" i="6"/>
  <c r="D39" i="6"/>
  <c r="D24" i="6"/>
  <c r="D25" i="6"/>
  <c r="D54" i="6"/>
  <c r="D55" i="6"/>
  <c r="E22" i="6"/>
  <c r="E23" i="6"/>
  <c r="E24" i="6"/>
  <c r="E38" i="6"/>
  <c r="E39" i="6"/>
  <c r="E64" i="6"/>
  <c r="E40" i="6"/>
  <c r="E65" i="6"/>
  <c r="D26" i="6"/>
  <c r="E63" i="6"/>
  <c r="D27" i="6"/>
  <c r="D57" i="6"/>
  <c r="E41" i="6"/>
  <c r="D42" i="6"/>
  <c r="E42" i="6"/>
  <c r="D43" i="6"/>
  <c r="E27" i="6"/>
  <c r="E60" i="6"/>
  <c r="D60" i="6"/>
  <c r="E44" i="6"/>
  <c r="D61" i="6"/>
  <c r="E58" i="6"/>
  <c r="D62" i="6"/>
  <c r="E57" i="6"/>
  <c r="D63" i="6"/>
  <c r="E56" i="6"/>
  <c r="D48" i="6"/>
  <c r="E32" i="6"/>
  <c r="D49" i="6"/>
  <c r="E54" i="6"/>
  <c r="D50" i="6"/>
  <c r="E53" i="6"/>
  <c r="D21" i="6"/>
  <c r="D35" i="6"/>
  <c r="D51" i="6"/>
  <c r="E19" i="6"/>
  <c r="E35" i="6"/>
  <c r="E68" i="6"/>
  <c r="E52" i="6"/>
  <c r="D40" i="6"/>
  <c r="D56" i="6"/>
  <c r="D44" i="6"/>
  <c r="E59" i="6"/>
  <c r="D45" i="6"/>
  <c r="E45" i="6"/>
  <c r="D46" i="6"/>
  <c r="E30" i="6"/>
  <c r="D47" i="6"/>
  <c r="E47" i="6"/>
  <c r="D64" i="6"/>
  <c r="E48" i="6"/>
  <c r="D19" i="6"/>
  <c r="F19" i="6" s="1"/>
  <c r="D65" i="6"/>
  <c r="E49" i="6"/>
  <c r="D20" i="6"/>
  <c r="D66" i="6"/>
  <c r="F66" i="6" s="1"/>
  <c r="E50" i="6"/>
  <c r="D22" i="6"/>
  <c r="D36" i="6"/>
  <c r="D52" i="6"/>
  <c r="E20" i="6"/>
  <c r="E36" i="6"/>
  <c r="E67" i="6"/>
  <c r="E51" i="6"/>
  <c r="D41" i="6"/>
  <c r="E25" i="6"/>
  <c r="E62" i="6"/>
  <c r="D68" i="6"/>
  <c r="D58" i="6"/>
  <c r="E26" i="6"/>
  <c r="E61" i="6"/>
  <c r="D67" i="6"/>
  <c r="D59" i="6"/>
  <c r="E43" i="6"/>
  <c r="D28" i="6"/>
  <c r="E28" i="6"/>
  <c r="D29" i="6"/>
  <c r="E29" i="6"/>
  <c r="D30" i="6"/>
  <c r="F30" i="6" s="1"/>
  <c r="E46" i="6"/>
  <c r="D31" i="6"/>
  <c r="E31" i="6"/>
  <c r="D32" i="6"/>
  <c r="E55" i="6"/>
  <c r="D33" i="6"/>
  <c r="E33" i="6"/>
  <c r="D34" i="6"/>
  <c r="E34" i="6"/>
  <c r="D23" i="6"/>
  <c r="D37" i="6"/>
  <c r="D53" i="6"/>
  <c r="E21" i="6"/>
  <c r="E37" i="6"/>
  <c r="F368" i="18" l="1"/>
  <c r="F363" i="18"/>
  <c r="F364" i="18" s="1"/>
  <c r="J368" i="18" s="1"/>
  <c r="F19" i="11"/>
  <c r="F39" i="11"/>
  <c r="F37" i="11"/>
  <c r="F31" i="11"/>
  <c r="F26" i="11"/>
  <c r="F56" i="11"/>
  <c r="F33" i="11"/>
  <c r="F20" i="11"/>
  <c r="F32" i="11"/>
  <c r="F47" i="11"/>
  <c r="F45" i="11"/>
  <c r="F34" i="11"/>
  <c r="F250" i="18"/>
  <c r="F29" i="10"/>
  <c r="F43" i="9"/>
  <c r="F68" i="9"/>
  <c r="F66" i="9"/>
  <c r="F63" i="9"/>
  <c r="F24" i="9"/>
  <c r="F35" i="9"/>
  <c r="F48" i="9"/>
  <c r="F191" i="18"/>
  <c r="F51" i="9"/>
  <c r="F34" i="9"/>
  <c r="F53" i="9"/>
  <c r="F227" i="18"/>
  <c r="F47" i="9"/>
  <c r="F59" i="9"/>
  <c r="F27" i="9"/>
  <c r="F49" i="8"/>
  <c r="F37" i="8"/>
  <c r="F32" i="8"/>
  <c r="F21" i="8"/>
  <c r="F58" i="8"/>
  <c r="F26" i="8"/>
  <c r="F41" i="8"/>
  <c r="F65" i="8"/>
  <c r="F33" i="8"/>
  <c r="F20" i="8"/>
  <c r="F43" i="7"/>
  <c r="F25" i="7"/>
  <c r="F35" i="7"/>
  <c r="F26" i="7"/>
  <c r="F65" i="7"/>
  <c r="F70" i="18"/>
  <c r="F33" i="7"/>
  <c r="F36" i="7"/>
  <c r="F50" i="7"/>
  <c r="F387" i="18"/>
  <c r="G387" i="18"/>
  <c r="G380" i="18"/>
  <c r="F380" i="18"/>
  <c r="G369" i="18"/>
  <c r="F369" i="18"/>
  <c r="J382" i="18"/>
  <c r="F383" i="18"/>
  <c r="G383" i="18"/>
  <c r="G376" i="18"/>
  <c r="F376" i="18"/>
  <c r="F390" i="18"/>
  <c r="G390" i="18"/>
  <c r="J369" i="18"/>
  <c r="J378" i="18"/>
  <c r="F379" i="18"/>
  <c r="G379" i="18"/>
  <c r="G372" i="18"/>
  <c r="F372" i="18"/>
  <c r="F386" i="18"/>
  <c r="G386" i="18"/>
  <c r="J372" i="18"/>
  <c r="J391" i="18"/>
  <c r="J374" i="18"/>
  <c r="F375" i="18"/>
  <c r="G375" i="18"/>
  <c r="G389" i="18"/>
  <c r="F389" i="18"/>
  <c r="F382" i="18"/>
  <c r="G382" i="18"/>
  <c r="I382" i="18" s="1"/>
  <c r="J371" i="18"/>
  <c r="J387" i="18"/>
  <c r="F371" i="18"/>
  <c r="G371" i="18"/>
  <c r="G385" i="18"/>
  <c r="F385" i="18"/>
  <c r="F378" i="18"/>
  <c r="G378" i="18"/>
  <c r="J389" i="18"/>
  <c r="G392" i="18"/>
  <c r="F392" i="18"/>
  <c r="F381" i="18"/>
  <c r="G381" i="18"/>
  <c r="I381" i="18" s="1"/>
  <c r="F374" i="18"/>
  <c r="G374" i="18"/>
  <c r="G388" i="18"/>
  <c r="F388" i="18"/>
  <c r="F377" i="18"/>
  <c r="G377" i="18"/>
  <c r="F370" i="18"/>
  <c r="G370" i="18"/>
  <c r="G391" i="18"/>
  <c r="F391" i="18"/>
  <c r="G384" i="18"/>
  <c r="F384" i="18"/>
  <c r="F373" i="18"/>
  <c r="G373" i="18"/>
  <c r="G335" i="18"/>
  <c r="F335" i="18"/>
  <c r="G352" i="18"/>
  <c r="F352" i="18"/>
  <c r="G320" i="18"/>
  <c r="F320" i="18"/>
  <c r="F329" i="18"/>
  <c r="G329" i="18"/>
  <c r="F346" i="18"/>
  <c r="G346" i="18"/>
  <c r="F314" i="18"/>
  <c r="G314" i="18"/>
  <c r="G331" i="18"/>
  <c r="F331" i="18"/>
  <c r="F318" i="18"/>
  <c r="G318" i="18"/>
  <c r="F309" i="18"/>
  <c r="F336" i="18"/>
  <c r="G336" i="18"/>
  <c r="F357" i="18"/>
  <c r="G357" i="18"/>
  <c r="F325" i="18"/>
  <c r="G325" i="18"/>
  <c r="F342" i="18"/>
  <c r="G342" i="18"/>
  <c r="G310" i="18"/>
  <c r="F310" i="18"/>
  <c r="F327" i="18"/>
  <c r="G327" i="18"/>
  <c r="F350" i="18"/>
  <c r="G350" i="18"/>
  <c r="G348" i="18"/>
  <c r="F348" i="18"/>
  <c r="F353" i="18"/>
  <c r="G353" i="18"/>
  <c r="F321" i="18"/>
  <c r="G321" i="18"/>
  <c r="F338" i="18"/>
  <c r="G338" i="18"/>
  <c r="G355" i="18"/>
  <c r="F355" i="18"/>
  <c r="F323" i="18"/>
  <c r="G323" i="18"/>
  <c r="F333" i="18"/>
  <c r="G333" i="18"/>
  <c r="J339" i="18"/>
  <c r="F332" i="18"/>
  <c r="G332" i="18"/>
  <c r="F349" i="18"/>
  <c r="G349" i="18"/>
  <c r="F317" i="18"/>
  <c r="G317" i="18"/>
  <c r="F334" i="18"/>
  <c r="G334" i="18"/>
  <c r="G351" i="18"/>
  <c r="F351" i="18"/>
  <c r="F319" i="18"/>
  <c r="G319" i="18"/>
  <c r="F312" i="18"/>
  <c r="G312" i="18"/>
  <c r="J352" i="18"/>
  <c r="G328" i="18"/>
  <c r="F328" i="18"/>
  <c r="F345" i="18"/>
  <c r="G345" i="18"/>
  <c r="F313" i="18"/>
  <c r="G313" i="18"/>
  <c r="F330" i="18"/>
  <c r="G330" i="18"/>
  <c r="G347" i="18"/>
  <c r="F347" i="18"/>
  <c r="G315" i="18"/>
  <c r="F315" i="18"/>
  <c r="F356" i="18"/>
  <c r="G356" i="18"/>
  <c r="G344" i="18"/>
  <c r="F344" i="18"/>
  <c r="F341" i="18"/>
  <c r="G341" i="18"/>
  <c r="F358" i="18"/>
  <c r="G358" i="18"/>
  <c r="F326" i="18"/>
  <c r="G326" i="18"/>
  <c r="G343" i="18"/>
  <c r="F343" i="18"/>
  <c r="F311" i="18"/>
  <c r="G311" i="18"/>
  <c r="F324" i="18"/>
  <c r="G324" i="18"/>
  <c r="F340" i="18"/>
  <c r="G340" i="18"/>
  <c r="G316" i="18"/>
  <c r="F316" i="18"/>
  <c r="F337" i="18"/>
  <c r="G337" i="18"/>
  <c r="F354" i="18"/>
  <c r="G354" i="18"/>
  <c r="F322" i="18"/>
  <c r="G322" i="18"/>
  <c r="G339" i="18"/>
  <c r="F339" i="18"/>
  <c r="F270" i="18"/>
  <c r="G270" i="18"/>
  <c r="F261" i="18"/>
  <c r="G261" i="18"/>
  <c r="F253" i="18"/>
  <c r="G253" i="18"/>
  <c r="G265" i="18"/>
  <c r="F265" i="18"/>
  <c r="G274" i="18"/>
  <c r="F274" i="18"/>
  <c r="F271" i="18"/>
  <c r="G271" i="18"/>
  <c r="G272" i="18"/>
  <c r="F272" i="18"/>
  <c r="F267" i="18"/>
  <c r="G267" i="18"/>
  <c r="G266" i="18"/>
  <c r="F266" i="18"/>
  <c r="F263" i="18"/>
  <c r="G263" i="18"/>
  <c r="G264" i="18"/>
  <c r="F264" i="18"/>
  <c r="G250" i="18"/>
  <c r="G262" i="18"/>
  <c r="F262" i="18"/>
  <c r="F259" i="18"/>
  <c r="G259" i="18"/>
  <c r="G260" i="18"/>
  <c r="F260" i="18"/>
  <c r="F258" i="18"/>
  <c r="G258" i="18"/>
  <c r="F255" i="18"/>
  <c r="G255" i="18"/>
  <c r="G256" i="18"/>
  <c r="F256" i="18"/>
  <c r="F254" i="18"/>
  <c r="G254" i="18"/>
  <c r="F251" i="18"/>
  <c r="G251" i="18"/>
  <c r="G252" i="18"/>
  <c r="F252" i="18"/>
  <c r="G268" i="18"/>
  <c r="F268" i="18"/>
  <c r="F269" i="18"/>
  <c r="G269" i="18"/>
  <c r="F257" i="18"/>
  <c r="G257" i="18"/>
  <c r="G273" i="18"/>
  <c r="F273" i="18"/>
  <c r="F208" i="18"/>
  <c r="G208" i="18"/>
  <c r="F206" i="18"/>
  <c r="G206" i="18"/>
  <c r="F199" i="18"/>
  <c r="G199" i="18"/>
  <c r="F213" i="18"/>
  <c r="G213" i="18"/>
  <c r="F203" i="18"/>
  <c r="G203" i="18"/>
  <c r="F202" i="18"/>
  <c r="G202" i="18"/>
  <c r="G195" i="18"/>
  <c r="F195" i="18"/>
  <c r="F209" i="18"/>
  <c r="G209" i="18"/>
  <c r="F210" i="18"/>
  <c r="G210" i="18"/>
  <c r="F198" i="18"/>
  <c r="G198" i="18"/>
  <c r="F204" i="18"/>
  <c r="G204" i="18"/>
  <c r="F205" i="18"/>
  <c r="G205" i="18"/>
  <c r="F194" i="18"/>
  <c r="G194" i="18"/>
  <c r="F200" i="18"/>
  <c r="G200" i="18"/>
  <c r="F201" i="18"/>
  <c r="G201" i="18"/>
  <c r="G215" i="18"/>
  <c r="F215" i="18"/>
  <c r="G196" i="18"/>
  <c r="F196" i="18"/>
  <c r="F197" i="18"/>
  <c r="G197" i="18"/>
  <c r="G211" i="18"/>
  <c r="F211" i="18"/>
  <c r="G192" i="18"/>
  <c r="F192" i="18"/>
  <c r="F193" i="18"/>
  <c r="G193" i="18"/>
  <c r="F214" i="18"/>
  <c r="G214" i="18"/>
  <c r="F207" i="18"/>
  <c r="G207" i="18"/>
  <c r="F212" i="18"/>
  <c r="G212" i="18"/>
  <c r="F150" i="18"/>
  <c r="G150" i="18"/>
  <c r="F132" i="18"/>
  <c r="G132" i="18"/>
  <c r="F146" i="18"/>
  <c r="G146" i="18"/>
  <c r="F139" i="18"/>
  <c r="G139" i="18"/>
  <c r="F153" i="18"/>
  <c r="G153" i="18"/>
  <c r="G143" i="18"/>
  <c r="F143" i="18"/>
  <c r="F142" i="18"/>
  <c r="G142" i="18"/>
  <c r="F135" i="18"/>
  <c r="G135" i="18"/>
  <c r="G149" i="18"/>
  <c r="F149" i="18"/>
  <c r="F138" i="18"/>
  <c r="G138" i="18"/>
  <c r="F152" i="18"/>
  <c r="G152" i="18"/>
  <c r="G145" i="18"/>
  <c r="F145" i="18"/>
  <c r="F131" i="18"/>
  <c r="F134" i="18"/>
  <c r="G134" i="18"/>
  <c r="G148" i="18"/>
  <c r="F148" i="18"/>
  <c r="G141" i="18"/>
  <c r="F141" i="18"/>
  <c r="G155" i="18"/>
  <c r="F155" i="18"/>
  <c r="F144" i="18"/>
  <c r="G144" i="18"/>
  <c r="G137" i="18"/>
  <c r="F137" i="18"/>
  <c r="G151" i="18"/>
  <c r="F151" i="18"/>
  <c r="G140" i="18"/>
  <c r="F140" i="18"/>
  <c r="G133" i="18"/>
  <c r="F133" i="18"/>
  <c r="F154" i="18"/>
  <c r="G154" i="18"/>
  <c r="G147" i="18"/>
  <c r="F147" i="18"/>
  <c r="G136" i="18"/>
  <c r="F136" i="18"/>
  <c r="F73" i="18"/>
  <c r="G73" i="18"/>
  <c r="G93" i="18"/>
  <c r="F93" i="18"/>
  <c r="F88" i="18"/>
  <c r="G88" i="18"/>
  <c r="F85" i="18"/>
  <c r="G85" i="18"/>
  <c r="F74" i="18"/>
  <c r="G74" i="18"/>
  <c r="G83" i="18"/>
  <c r="F83" i="18"/>
  <c r="F81" i="18"/>
  <c r="G81" i="18"/>
  <c r="F77" i="18"/>
  <c r="G77" i="18"/>
  <c r="F84" i="18"/>
  <c r="G84" i="18"/>
  <c r="G94" i="18"/>
  <c r="F94" i="18"/>
  <c r="G79" i="18"/>
  <c r="F79" i="18"/>
  <c r="F80" i="18"/>
  <c r="G80" i="18"/>
  <c r="F90" i="18"/>
  <c r="G90" i="18"/>
  <c r="G75" i="18"/>
  <c r="F75" i="18"/>
  <c r="G76" i="18"/>
  <c r="F76" i="18"/>
  <c r="F86" i="18"/>
  <c r="G86" i="18"/>
  <c r="F71" i="18"/>
  <c r="G71" i="18"/>
  <c r="F72" i="18"/>
  <c r="G72" i="18"/>
  <c r="F92" i="18"/>
  <c r="G92" i="18"/>
  <c r="G82" i="18"/>
  <c r="F82" i="18"/>
  <c r="F91" i="18"/>
  <c r="G91" i="18"/>
  <c r="F89" i="18"/>
  <c r="G89" i="18"/>
  <c r="G78" i="18"/>
  <c r="F78" i="18"/>
  <c r="F87" i="18"/>
  <c r="G87" i="18"/>
  <c r="F31" i="18"/>
  <c r="G31" i="18"/>
  <c r="F16" i="18"/>
  <c r="G16" i="18"/>
  <c r="G25" i="18"/>
  <c r="F25" i="18"/>
  <c r="G23" i="18"/>
  <c r="F23" i="18"/>
  <c r="F12" i="18"/>
  <c r="G12" i="18"/>
  <c r="G30" i="18"/>
  <c r="F30" i="18"/>
  <c r="F26" i="18"/>
  <c r="G26" i="18"/>
  <c r="F11" i="18"/>
  <c r="G11" i="18"/>
  <c r="G29" i="18"/>
  <c r="F29" i="18"/>
  <c r="F22" i="18"/>
  <c r="G22" i="18"/>
  <c r="F15" i="18"/>
  <c r="G15" i="18"/>
  <c r="G33" i="18"/>
  <c r="F33" i="18"/>
  <c r="F32" i="18"/>
  <c r="G32" i="18"/>
  <c r="G21" i="18"/>
  <c r="F21" i="18"/>
  <c r="G18" i="18"/>
  <c r="F18" i="18"/>
  <c r="F28" i="18"/>
  <c r="G28" i="18"/>
  <c r="F17" i="18"/>
  <c r="G17" i="18"/>
  <c r="G14" i="18"/>
  <c r="F14" i="18"/>
  <c r="G24" i="18"/>
  <c r="F24" i="18"/>
  <c r="F13" i="18"/>
  <c r="G13" i="18"/>
  <c r="F10" i="18"/>
  <c r="G10" i="18"/>
  <c r="G27" i="18"/>
  <c r="F27" i="18"/>
  <c r="F20" i="18"/>
  <c r="G20" i="18"/>
  <c r="F19" i="18"/>
  <c r="G19" i="18"/>
  <c r="E363" i="18"/>
  <c r="E364" i="18" s="1"/>
  <c r="I368" i="18" s="1"/>
  <c r="F60" i="11"/>
  <c r="F50" i="11"/>
  <c r="F40" i="11"/>
  <c r="F52" i="10"/>
  <c r="F20" i="10"/>
  <c r="F37" i="10"/>
  <c r="F47" i="10"/>
  <c r="F51" i="10"/>
  <c r="F19" i="10"/>
  <c r="F57" i="9"/>
  <c r="F37" i="9"/>
  <c r="F45" i="8"/>
  <c r="F53" i="8"/>
  <c r="F29" i="8"/>
  <c r="F51" i="8"/>
  <c r="F66" i="8"/>
  <c r="F43" i="8"/>
  <c r="F40" i="8"/>
  <c r="F23" i="7"/>
  <c r="F42" i="7"/>
  <c r="F63" i="11"/>
  <c r="F35" i="11"/>
  <c r="F55" i="11"/>
  <c r="F64" i="11"/>
  <c r="F48" i="11"/>
  <c r="F27" i="11"/>
  <c r="F44" i="11"/>
  <c r="F23" i="11"/>
  <c r="F66" i="11"/>
  <c r="F44" i="10"/>
  <c r="F49" i="10"/>
  <c r="F53" i="10"/>
  <c r="F41" i="10"/>
  <c r="F43" i="10"/>
  <c r="F55" i="10"/>
  <c r="F23" i="10"/>
  <c r="F62" i="10"/>
  <c r="F30" i="10"/>
  <c r="F49" i="9"/>
  <c r="F38" i="9"/>
  <c r="F64" i="9"/>
  <c r="F61" i="9"/>
  <c r="F50" i="9"/>
  <c r="F45" i="9"/>
  <c r="F31" i="9"/>
  <c r="F39" i="9"/>
  <c r="F64" i="8"/>
  <c r="F57" i="8"/>
  <c r="F53" i="7"/>
  <c r="F27" i="7"/>
  <c r="F39" i="7"/>
  <c r="F49" i="7"/>
  <c r="F44" i="7"/>
  <c r="F19" i="7"/>
  <c r="F59" i="7"/>
  <c r="F51" i="7"/>
  <c r="F68" i="7"/>
  <c r="F31" i="7"/>
  <c r="F37" i="7"/>
  <c r="F41" i="7"/>
  <c r="F30" i="7"/>
  <c r="F40" i="7"/>
  <c r="F28" i="7"/>
  <c r="F57" i="7"/>
  <c r="F46" i="7"/>
  <c r="F34" i="7"/>
  <c r="F29" i="7"/>
  <c r="F20" i="7"/>
  <c r="F22" i="7"/>
  <c r="E4" i="18"/>
  <c r="E5" i="18" s="1"/>
  <c r="I9" i="18" s="1"/>
  <c r="F24" i="7"/>
  <c r="F32" i="7"/>
  <c r="F56" i="7"/>
  <c r="F66" i="7"/>
  <c r="F61" i="7"/>
  <c r="F67" i="7"/>
  <c r="F45" i="7"/>
  <c r="F55" i="7"/>
  <c r="F54" i="7"/>
  <c r="F47" i="7"/>
  <c r="F52" i="7"/>
  <c r="F54" i="11"/>
  <c r="F52" i="11"/>
  <c r="F49" i="11"/>
  <c r="F58" i="11"/>
  <c r="F42" i="11"/>
  <c r="F57" i="11"/>
  <c r="F59" i="11"/>
  <c r="F25" i="9"/>
  <c r="F46" i="9"/>
  <c r="F56" i="10"/>
  <c r="F54" i="10"/>
  <c r="F22" i="10"/>
  <c r="F24" i="10"/>
  <c r="F36" i="8"/>
  <c r="F31" i="8"/>
  <c r="F46" i="8"/>
  <c r="F63" i="8"/>
  <c r="F68" i="8"/>
  <c r="F59" i="8"/>
  <c r="F44" i="8"/>
  <c r="F47" i="8"/>
  <c r="F60" i="7"/>
  <c r="F63" i="7"/>
  <c r="F62" i="7"/>
  <c r="F65" i="18"/>
  <c r="F66" i="18" s="1"/>
  <c r="J70" i="18" s="1"/>
  <c r="G156" i="18"/>
  <c r="F156" i="18"/>
  <c r="F95" i="18"/>
  <c r="G95" i="18"/>
  <c r="F276" i="18"/>
  <c r="F36" i="18"/>
  <c r="F46" i="18"/>
  <c r="F38" i="18"/>
  <c r="F113" i="18"/>
  <c r="F34" i="18"/>
  <c r="G34" i="18"/>
  <c r="F118" i="18"/>
  <c r="F54" i="18"/>
  <c r="F283" i="18"/>
  <c r="F278" i="18"/>
  <c r="F114" i="18"/>
  <c r="E186" i="18"/>
  <c r="E187" i="18" s="1"/>
  <c r="I227" i="18" s="1"/>
  <c r="F292" i="18"/>
  <c r="E245" i="18"/>
  <c r="E246" i="18" s="1"/>
  <c r="I250" i="18" s="1"/>
  <c r="F304" i="18"/>
  <c r="F305" i="18" s="1"/>
  <c r="J309" i="18" s="1"/>
  <c r="F186" i="18"/>
  <c r="F187" i="18" s="1"/>
  <c r="J191" i="18" s="1"/>
  <c r="F50" i="18"/>
  <c r="F48" i="18"/>
  <c r="F4" i="18"/>
  <c r="F5" i="18" s="1"/>
  <c r="J9" i="18" s="1"/>
  <c r="F44" i="18"/>
  <c r="F40" i="18"/>
  <c r="F56" i="18"/>
  <c r="F52" i="18"/>
  <c r="F119" i="18"/>
  <c r="F117" i="18"/>
  <c r="E65" i="18"/>
  <c r="E66" i="18" s="1"/>
  <c r="I70" i="18" s="1"/>
  <c r="E126" i="18"/>
  <c r="E127" i="18" s="1"/>
  <c r="I131" i="18" s="1"/>
  <c r="F406" i="18"/>
  <c r="F394" i="18"/>
  <c r="J394" i="18" s="1"/>
  <c r="F410" i="18"/>
  <c r="J410" i="18" s="1"/>
  <c r="F277" i="18"/>
  <c r="F245" i="18"/>
  <c r="F246" i="18" s="1"/>
  <c r="J250" i="18" s="1"/>
  <c r="G407" i="18"/>
  <c r="F407" i="18"/>
  <c r="G99" i="18"/>
  <c r="F99" i="18"/>
  <c r="F45" i="18"/>
  <c r="G45" i="18"/>
  <c r="G158" i="18"/>
  <c r="F158" i="18"/>
  <c r="F296" i="18"/>
  <c r="F97" i="18"/>
  <c r="G97" i="18"/>
  <c r="G403" i="18"/>
  <c r="F403" i="18"/>
  <c r="J403" i="18" s="1"/>
  <c r="E304" i="18"/>
  <c r="E305" i="18" s="1"/>
  <c r="I309" i="18" s="1"/>
  <c r="F295" i="18"/>
  <c r="G111" i="18"/>
  <c r="F111" i="18"/>
  <c r="F275" i="18"/>
  <c r="F57" i="18"/>
  <c r="G57" i="18"/>
  <c r="F41" i="18"/>
  <c r="G41" i="18"/>
  <c r="G104" i="18"/>
  <c r="F104" i="18"/>
  <c r="G175" i="18"/>
  <c r="F175" i="18"/>
  <c r="G167" i="18"/>
  <c r="F167" i="18"/>
  <c r="G162" i="18"/>
  <c r="F162" i="18"/>
  <c r="G216" i="18"/>
  <c r="F216" i="18"/>
  <c r="G223" i="18"/>
  <c r="F223" i="18"/>
  <c r="G217" i="18"/>
  <c r="F217" i="18"/>
  <c r="F240" i="18"/>
  <c r="G240" i="18"/>
  <c r="G163" i="18"/>
  <c r="F163" i="18"/>
  <c r="G174" i="18"/>
  <c r="F174" i="18"/>
  <c r="F43" i="18"/>
  <c r="G43" i="18"/>
  <c r="G106" i="18"/>
  <c r="F106" i="18"/>
  <c r="G417" i="18"/>
  <c r="F417" i="18"/>
  <c r="G401" i="18"/>
  <c r="F401" i="18"/>
  <c r="H408" i="18"/>
  <c r="F408" i="18"/>
  <c r="F412" i="18"/>
  <c r="F398" i="18"/>
  <c r="I398" i="18" s="1"/>
  <c r="F286" i="18"/>
  <c r="F298" i="18"/>
  <c r="F291" i="18"/>
  <c r="G109" i="18"/>
  <c r="F109" i="18"/>
  <c r="F176" i="18"/>
  <c r="F55" i="18"/>
  <c r="G55" i="18"/>
  <c r="F39" i="18"/>
  <c r="G39" i="18"/>
  <c r="G102" i="18"/>
  <c r="F102" i="18"/>
  <c r="G177" i="18"/>
  <c r="F177" i="18"/>
  <c r="G169" i="18"/>
  <c r="F169" i="18"/>
  <c r="G164" i="18"/>
  <c r="F164" i="18"/>
  <c r="F179" i="18"/>
  <c r="F219" i="18"/>
  <c r="G219" i="18"/>
  <c r="F231" i="18"/>
  <c r="G231" i="18"/>
  <c r="F224" i="18"/>
  <c r="G224" i="18"/>
  <c r="F237" i="18"/>
  <c r="G237" i="18"/>
  <c r="G225" i="18"/>
  <c r="F225" i="18"/>
  <c r="G230" i="18"/>
  <c r="F230" i="18"/>
  <c r="G405" i="18"/>
  <c r="F405" i="18"/>
  <c r="J405" i="18" s="1"/>
  <c r="G160" i="18"/>
  <c r="F160" i="18"/>
  <c r="G220" i="18"/>
  <c r="F220" i="18"/>
  <c r="G236" i="18"/>
  <c r="F236" i="18"/>
  <c r="G415" i="18"/>
  <c r="F415" i="18"/>
  <c r="J415" i="18" s="1"/>
  <c r="G399" i="18"/>
  <c r="F399" i="18"/>
  <c r="F285" i="18"/>
  <c r="F299" i="18"/>
  <c r="F284" i="18"/>
  <c r="G107" i="18"/>
  <c r="F107" i="18"/>
  <c r="F115" i="18"/>
  <c r="F53" i="18"/>
  <c r="G53" i="18"/>
  <c r="F37" i="18"/>
  <c r="G37" i="18"/>
  <c r="F279" i="18"/>
  <c r="G100" i="18"/>
  <c r="F100" i="18"/>
  <c r="G180" i="18"/>
  <c r="F180" i="18"/>
  <c r="G171" i="18"/>
  <c r="F171" i="18"/>
  <c r="G166" i="18"/>
  <c r="F166" i="18"/>
  <c r="G229" i="18"/>
  <c r="F229" i="18"/>
  <c r="G234" i="18"/>
  <c r="F234" i="18"/>
  <c r="F228" i="18"/>
  <c r="G228" i="18"/>
  <c r="G239" i="18"/>
  <c r="F239" i="18"/>
  <c r="G108" i="18"/>
  <c r="F108" i="18"/>
  <c r="F297" i="18"/>
  <c r="F280" i="18"/>
  <c r="G165" i="18"/>
  <c r="F165" i="18"/>
  <c r="F116" i="18"/>
  <c r="G116" i="18"/>
  <c r="G413" i="18"/>
  <c r="F413" i="18"/>
  <c r="J413" i="18" s="1"/>
  <c r="G397" i="18"/>
  <c r="F397" i="18"/>
  <c r="F414" i="18"/>
  <c r="I414" i="18" s="1"/>
  <c r="F293" i="18"/>
  <c r="F396" i="18"/>
  <c r="I396" i="18" s="1"/>
  <c r="F290" i="18"/>
  <c r="G105" i="18"/>
  <c r="F105" i="18"/>
  <c r="F51" i="18"/>
  <c r="G51" i="18"/>
  <c r="F35" i="18"/>
  <c r="G35" i="18"/>
  <c r="G98" i="18"/>
  <c r="F98" i="18"/>
  <c r="G157" i="18"/>
  <c r="F157" i="18"/>
  <c r="G173" i="18"/>
  <c r="F173" i="18"/>
  <c r="G168" i="18"/>
  <c r="F168" i="18"/>
  <c r="G233" i="18"/>
  <c r="F233" i="18"/>
  <c r="G232" i="18"/>
  <c r="F232" i="18"/>
  <c r="F238" i="18"/>
  <c r="G238" i="18"/>
  <c r="G411" i="18"/>
  <c r="F411" i="18"/>
  <c r="G395" i="18"/>
  <c r="F395" i="18"/>
  <c r="H402" i="18"/>
  <c r="F402" i="18"/>
  <c r="I402" i="18" s="1"/>
  <c r="F288" i="18"/>
  <c r="F289" i="18"/>
  <c r="F281" i="18"/>
  <c r="G103" i="18"/>
  <c r="F103" i="18"/>
  <c r="F49" i="18"/>
  <c r="G49" i="18"/>
  <c r="G112" i="18"/>
  <c r="F112" i="18"/>
  <c r="G96" i="18"/>
  <c r="F96" i="18"/>
  <c r="G159" i="18"/>
  <c r="F159" i="18"/>
  <c r="G178" i="18"/>
  <c r="F178" i="18"/>
  <c r="G170" i="18"/>
  <c r="F170" i="18"/>
  <c r="G218" i="18"/>
  <c r="F218" i="18"/>
  <c r="F235" i="18"/>
  <c r="G235" i="18"/>
  <c r="G409" i="18"/>
  <c r="F409" i="18"/>
  <c r="J409" i="18" s="1"/>
  <c r="G393" i="18"/>
  <c r="F393" i="18"/>
  <c r="J393" i="18" s="1"/>
  <c r="H416" i="18"/>
  <c r="F416" i="18"/>
  <c r="I416" i="18" s="1"/>
  <c r="H400" i="18"/>
  <c r="F400" i="18"/>
  <c r="I400" i="18" s="1"/>
  <c r="F287" i="18"/>
  <c r="F404" i="18"/>
  <c r="F294" i="18"/>
  <c r="F126" i="18"/>
  <c r="F127" i="18" s="1"/>
  <c r="J131" i="18" s="1"/>
  <c r="F101" i="18"/>
  <c r="G101" i="18"/>
  <c r="F282" i="18"/>
  <c r="F47" i="18"/>
  <c r="G47" i="18"/>
  <c r="G110" i="18"/>
  <c r="F110" i="18"/>
  <c r="F58" i="18"/>
  <c r="F42" i="18"/>
  <c r="G161" i="18"/>
  <c r="F161" i="18"/>
  <c r="G172" i="18"/>
  <c r="F172" i="18"/>
  <c r="F222" i="18"/>
  <c r="G222" i="18"/>
  <c r="G226" i="18"/>
  <c r="F226" i="18"/>
  <c r="F221" i="18"/>
  <c r="G221" i="18"/>
  <c r="F32" i="17"/>
  <c r="F65" i="17"/>
  <c r="F40" i="17"/>
  <c r="F51" i="17"/>
  <c r="F19" i="17"/>
  <c r="F57" i="17"/>
  <c r="F64" i="17"/>
  <c r="F46" i="17"/>
  <c r="F43" i="17"/>
  <c r="F56" i="17"/>
  <c r="F54" i="16"/>
  <c r="F65" i="16"/>
  <c r="F33" i="16"/>
  <c r="F49" i="16"/>
  <c r="F41" i="16"/>
  <c r="F62" i="16"/>
  <c r="F59" i="15"/>
  <c r="F27" i="15"/>
  <c r="F40" i="15"/>
  <c r="F32" i="15"/>
  <c r="F51" i="15"/>
  <c r="F19" i="15"/>
  <c r="F24" i="15"/>
  <c r="F55" i="15"/>
  <c r="F43" i="15"/>
  <c r="F39" i="15"/>
  <c r="F64" i="15"/>
  <c r="F31" i="15"/>
  <c r="F67" i="15"/>
  <c r="F35" i="15"/>
  <c r="F56" i="15"/>
  <c r="F65" i="14"/>
  <c r="F33" i="14"/>
  <c r="F54" i="14"/>
  <c r="F22" i="14"/>
  <c r="F43" i="14"/>
  <c r="F49" i="14"/>
  <c r="F38" i="14"/>
  <c r="F59" i="14"/>
  <c r="F27" i="14"/>
  <c r="F38" i="13"/>
  <c r="F41" i="13"/>
  <c r="F62" i="13"/>
  <c r="F30" i="13"/>
  <c r="F65" i="13"/>
  <c r="F33" i="13"/>
  <c r="F54" i="13"/>
  <c r="F22" i="13"/>
  <c r="F50" i="12"/>
  <c r="F65" i="12"/>
  <c r="F33" i="12"/>
  <c r="F38" i="12"/>
  <c r="F45" i="12"/>
  <c r="F42" i="12"/>
  <c r="F41" i="12"/>
  <c r="F57" i="12"/>
  <c r="F25" i="12"/>
  <c r="F37" i="12"/>
  <c r="F19" i="12"/>
  <c r="F55" i="12"/>
  <c r="F29" i="12"/>
  <c r="F66" i="12"/>
  <c r="F46" i="12"/>
  <c r="F40" i="12"/>
  <c r="F51" i="12"/>
  <c r="F23" i="12"/>
  <c r="F53" i="12"/>
  <c r="F49" i="12"/>
  <c r="F64" i="12"/>
  <c r="F54" i="12"/>
  <c r="F22" i="12"/>
  <c r="F21" i="12"/>
  <c r="F43" i="12"/>
  <c r="F47" i="12"/>
  <c r="F51" i="11"/>
  <c r="F46" i="11"/>
  <c r="F43" i="11"/>
  <c r="F65" i="11"/>
  <c r="F67" i="11"/>
  <c r="F62" i="11"/>
  <c r="F63" i="10"/>
  <c r="F31" i="10"/>
  <c r="F38" i="10"/>
  <c r="F66" i="10"/>
  <c r="F34" i="10"/>
  <c r="F26" i="10"/>
  <c r="F45" i="10"/>
  <c r="F65" i="10"/>
  <c r="F33" i="10"/>
  <c r="F67" i="10"/>
  <c r="F35" i="10"/>
  <c r="F64" i="10"/>
  <c r="F50" i="10"/>
  <c r="F57" i="10"/>
  <c r="F25" i="10"/>
  <c r="F59" i="10"/>
  <c r="F27" i="10"/>
  <c r="F48" i="10"/>
  <c r="F21" i="10"/>
  <c r="F39" i="10"/>
  <c r="F46" i="10"/>
  <c r="F40" i="10"/>
  <c r="F42" i="10"/>
  <c r="F32" i="10"/>
  <c r="F41" i="9"/>
  <c r="F62" i="9"/>
  <c r="F30" i="9"/>
  <c r="F65" i="9"/>
  <c r="F33" i="9"/>
  <c r="F54" i="9"/>
  <c r="F22" i="9"/>
  <c r="F56" i="8"/>
  <c r="F28" i="8"/>
  <c r="F39" i="8"/>
  <c r="F54" i="8"/>
  <c r="F48" i="8"/>
  <c r="F60" i="8"/>
  <c r="F55" i="8"/>
  <c r="F25" i="6"/>
  <c r="F39" i="6"/>
  <c r="F60" i="6"/>
  <c r="F55" i="6"/>
  <c r="F41" i="6"/>
  <c r="F38" i="6"/>
  <c r="F54" i="6"/>
  <c r="F24" i="6"/>
  <c r="F22" i="6"/>
  <c r="F40" i="6"/>
  <c r="F50" i="6"/>
  <c r="F43" i="6"/>
  <c r="F49" i="6"/>
  <c r="F52" i="6"/>
  <c r="F57" i="6"/>
  <c r="F23" i="6"/>
  <c r="F26" i="6"/>
  <c r="F45" i="6"/>
  <c r="F53" i="6"/>
  <c r="F37" i="6"/>
  <c r="F33" i="6"/>
  <c r="F61" i="6"/>
  <c r="F36" i="6"/>
  <c r="F68" i="6"/>
  <c r="F65" i="6"/>
  <c r="F32" i="6"/>
  <c r="F51" i="6"/>
  <c r="F58" i="6"/>
  <c r="F64" i="6"/>
  <c r="F31" i="6"/>
  <c r="F47" i="6"/>
  <c r="F46" i="6"/>
  <c r="F42" i="6"/>
  <c r="F35" i="6"/>
  <c r="F21" i="6"/>
  <c r="F29" i="6"/>
  <c r="F44" i="6"/>
  <c r="F34" i="6"/>
  <c r="F20" i="6"/>
  <c r="F62" i="6"/>
  <c r="F28" i="6"/>
  <c r="F48" i="6"/>
  <c r="F27" i="6"/>
  <c r="F59" i="6"/>
  <c r="F56" i="6"/>
  <c r="F63" i="6"/>
  <c r="F67" i="6"/>
  <c r="J406" i="18" l="1"/>
  <c r="J390" i="18"/>
  <c r="J395" i="18"/>
  <c r="J411" i="18"/>
  <c r="J401" i="18"/>
  <c r="J407" i="18"/>
  <c r="J381" i="18"/>
  <c r="J379" i="18"/>
  <c r="M379" i="18" s="1"/>
  <c r="N379" i="18" s="1"/>
  <c r="O379" i="18" s="1"/>
  <c r="J399" i="18"/>
  <c r="J388" i="18"/>
  <c r="J385" i="18"/>
  <c r="J375" i="18"/>
  <c r="J397" i="18"/>
  <c r="J417" i="18"/>
  <c r="J392" i="18"/>
  <c r="J383" i="18"/>
  <c r="J370" i="18"/>
  <c r="I370" i="18"/>
  <c r="M370" i="18" s="1"/>
  <c r="N370" i="18" s="1"/>
  <c r="O370" i="18" s="1"/>
  <c r="I379" i="18"/>
  <c r="I391" i="18"/>
  <c r="K391" i="18" s="1"/>
  <c r="I386" i="18"/>
  <c r="L386" i="18" s="1"/>
  <c r="J376" i="18"/>
  <c r="J373" i="18"/>
  <c r="J386" i="18"/>
  <c r="J380" i="18"/>
  <c r="J377" i="18"/>
  <c r="J384" i="18"/>
  <c r="J327" i="18"/>
  <c r="J356" i="18"/>
  <c r="J328" i="18"/>
  <c r="J313" i="18"/>
  <c r="J331" i="18"/>
  <c r="J335" i="18"/>
  <c r="J351" i="18"/>
  <c r="J338" i="18"/>
  <c r="J310" i="18"/>
  <c r="J316" i="18"/>
  <c r="J326" i="18"/>
  <c r="J353" i="18"/>
  <c r="J332" i="18"/>
  <c r="J348" i="18"/>
  <c r="J341" i="18"/>
  <c r="I354" i="18"/>
  <c r="J329" i="18"/>
  <c r="I315" i="18"/>
  <c r="L315" i="18" s="1"/>
  <c r="J345" i="18"/>
  <c r="J315" i="18"/>
  <c r="M315" i="18" s="1"/>
  <c r="N315" i="18" s="1"/>
  <c r="O315" i="18" s="1"/>
  <c r="J355" i="18"/>
  <c r="I337" i="18"/>
  <c r="L337" i="18" s="1"/>
  <c r="J340" i="18"/>
  <c r="J358" i="18"/>
  <c r="J347" i="18"/>
  <c r="I347" i="18"/>
  <c r="M347" i="18" s="1"/>
  <c r="N347" i="18" s="1"/>
  <c r="O347" i="18" s="1"/>
  <c r="I328" i="18"/>
  <c r="K328" i="18" s="1"/>
  <c r="J357" i="18"/>
  <c r="J312" i="18"/>
  <c r="J319" i="18"/>
  <c r="J273" i="18"/>
  <c r="J252" i="18"/>
  <c r="J260" i="18"/>
  <c r="J274" i="18"/>
  <c r="J257" i="18"/>
  <c r="I200" i="18"/>
  <c r="I206" i="18"/>
  <c r="J210" i="18"/>
  <c r="I195" i="18"/>
  <c r="I196" i="18"/>
  <c r="J203" i="18"/>
  <c r="J208" i="18"/>
  <c r="I210" i="18"/>
  <c r="L210" i="18" s="1"/>
  <c r="I192" i="18"/>
  <c r="I215" i="18"/>
  <c r="I205" i="18"/>
  <c r="I211" i="18"/>
  <c r="J201" i="18"/>
  <c r="I199" i="18"/>
  <c r="L199" i="18" s="1"/>
  <c r="J202" i="18"/>
  <c r="I212" i="18"/>
  <c r="J192" i="18"/>
  <c r="M192" i="18" s="1"/>
  <c r="N192" i="18" s="1"/>
  <c r="O192" i="18" s="1"/>
  <c r="J205" i="18"/>
  <c r="J194" i="18"/>
  <c r="J200" i="18"/>
  <c r="K200" i="18" s="1"/>
  <c r="J215" i="18"/>
  <c r="J213" i="18"/>
  <c r="I204" i="18"/>
  <c r="L204" i="18" s="1"/>
  <c r="J211" i="18"/>
  <c r="K211" i="18" s="1"/>
  <c r="I213" i="18"/>
  <c r="J77" i="18"/>
  <c r="J92" i="18"/>
  <c r="J87" i="18"/>
  <c r="J88" i="18"/>
  <c r="J81" i="18"/>
  <c r="J73" i="18"/>
  <c r="J78" i="18"/>
  <c r="J82" i="18"/>
  <c r="J91" i="18"/>
  <c r="I72" i="18"/>
  <c r="L72" i="18" s="1"/>
  <c r="J13" i="18"/>
  <c r="I30" i="18"/>
  <c r="K30" i="18" s="1"/>
  <c r="J17" i="18"/>
  <c r="J33" i="18"/>
  <c r="J20" i="18"/>
  <c r="J14" i="18"/>
  <c r="I29" i="18"/>
  <c r="J26" i="18"/>
  <c r="K26" i="18" s="1"/>
  <c r="I20" i="18"/>
  <c r="I18" i="18"/>
  <c r="L18" i="18" s="1"/>
  <c r="I15" i="18"/>
  <c r="L15" i="18" s="1"/>
  <c r="I33" i="18"/>
  <c r="L33" i="18" s="1"/>
  <c r="I31" i="18"/>
  <c r="L31" i="18" s="1"/>
  <c r="I21" i="18"/>
  <c r="L21" i="18" s="1"/>
  <c r="I27" i="18"/>
  <c r="I28" i="18"/>
  <c r="K28" i="18" s="1"/>
  <c r="I32" i="18"/>
  <c r="J10" i="18"/>
  <c r="J23" i="18"/>
  <c r="J18" i="18"/>
  <c r="I16" i="18"/>
  <c r="L16" i="18" s="1"/>
  <c r="I17" i="18"/>
  <c r="K17" i="18" s="1"/>
  <c r="I26" i="18"/>
  <c r="J22" i="18"/>
  <c r="I24" i="18"/>
  <c r="J16" i="18"/>
  <c r="J27" i="18"/>
  <c r="I19" i="18"/>
  <c r="L19" i="18" s="1"/>
  <c r="J31" i="18"/>
  <c r="J24" i="18"/>
  <c r="K24" i="18" s="1"/>
  <c r="J28" i="18"/>
  <c r="I12" i="18"/>
  <c r="L12" i="18" s="1"/>
  <c r="I373" i="18"/>
  <c r="I375" i="18"/>
  <c r="I372" i="18"/>
  <c r="I369" i="18"/>
  <c r="I376" i="18"/>
  <c r="K379" i="18"/>
  <c r="L379" i="18"/>
  <c r="I404" i="18"/>
  <c r="I412" i="18"/>
  <c r="I374" i="18"/>
  <c r="I383" i="18"/>
  <c r="I380" i="18"/>
  <c r="I408" i="18"/>
  <c r="I384" i="18"/>
  <c r="I377" i="18"/>
  <c r="I378" i="18"/>
  <c r="I387" i="18"/>
  <c r="K381" i="18"/>
  <c r="L381" i="18"/>
  <c r="M381" i="18"/>
  <c r="N381" i="18" s="1"/>
  <c r="O381" i="18" s="1"/>
  <c r="L382" i="18"/>
  <c r="M382" i="18"/>
  <c r="N382" i="18" s="1"/>
  <c r="O382" i="18" s="1"/>
  <c r="K382" i="18"/>
  <c r="I388" i="18"/>
  <c r="I385" i="18"/>
  <c r="I390" i="18"/>
  <c r="I392" i="18"/>
  <c r="I371" i="18"/>
  <c r="I389" i="18"/>
  <c r="M368" i="18"/>
  <c r="N368" i="18" s="1"/>
  <c r="O368" i="18" s="1"/>
  <c r="L368" i="18"/>
  <c r="K368" i="18"/>
  <c r="I336" i="18"/>
  <c r="J318" i="18"/>
  <c r="I311" i="18"/>
  <c r="I341" i="18"/>
  <c r="J333" i="18"/>
  <c r="I312" i="18"/>
  <c r="I317" i="18"/>
  <c r="J322" i="18"/>
  <c r="I323" i="18"/>
  <c r="I353" i="18"/>
  <c r="J344" i="18"/>
  <c r="I310" i="18"/>
  <c r="I318" i="18"/>
  <c r="I329" i="18"/>
  <c r="J321" i="18"/>
  <c r="L328" i="18"/>
  <c r="M328" i="18"/>
  <c r="N328" i="18" s="1"/>
  <c r="O328" i="18" s="1"/>
  <c r="I342" i="18"/>
  <c r="I330" i="18"/>
  <c r="I319" i="18"/>
  <c r="I349" i="18"/>
  <c r="I350" i="18"/>
  <c r="J354" i="18"/>
  <c r="I343" i="18"/>
  <c r="I344" i="18"/>
  <c r="J336" i="18"/>
  <c r="J314" i="18"/>
  <c r="J342" i="18"/>
  <c r="I355" i="18"/>
  <c r="I348" i="18"/>
  <c r="I325" i="18"/>
  <c r="J317" i="18"/>
  <c r="I331" i="18"/>
  <c r="I320" i="18"/>
  <c r="J324" i="18"/>
  <c r="I339" i="18"/>
  <c r="I316" i="18"/>
  <c r="J346" i="18"/>
  <c r="I326" i="18"/>
  <c r="I356" i="18"/>
  <c r="J323" i="18"/>
  <c r="I313" i="18"/>
  <c r="J337" i="18"/>
  <c r="M337" i="18" s="1"/>
  <c r="N337" i="18" s="1"/>
  <c r="O337" i="18" s="1"/>
  <c r="I332" i="18"/>
  <c r="J350" i="18"/>
  <c r="I338" i="18"/>
  <c r="J311" i="18"/>
  <c r="J330" i="18"/>
  <c r="J349" i="18"/>
  <c r="I314" i="18"/>
  <c r="I322" i="18"/>
  <c r="I340" i="18"/>
  <c r="I324" i="18"/>
  <c r="J325" i="18"/>
  <c r="J334" i="18"/>
  <c r="I351" i="18"/>
  <c r="I333" i="18"/>
  <c r="J343" i="18"/>
  <c r="I327" i="18"/>
  <c r="I357" i="18"/>
  <c r="J320" i="18"/>
  <c r="I352" i="18"/>
  <c r="I335" i="18"/>
  <c r="I358" i="18"/>
  <c r="I345" i="18"/>
  <c r="I334" i="18"/>
  <c r="I321" i="18"/>
  <c r="I346" i="18"/>
  <c r="M309" i="18"/>
  <c r="N309" i="18" s="1"/>
  <c r="O309" i="18" s="1"/>
  <c r="L309" i="18"/>
  <c r="K309" i="18"/>
  <c r="I253" i="18"/>
  <c r="I273" i="18"/>
  <c r="J272" i="18"/>
  <c r="I258" i="18"/>
  <c r="I259" i="18"/>
  <c r="J262" i="18"/>
  <c r="J255" i="18"/>
  <c r="I260" i="18"/>
  <c r="I257" i="18"/>
  <c r="I268" i="18"/>
  <c r="J261" i="18"/>
  <c r="J258" i="18"/>
  <c r="I274" i="18"/>
  <c r="I261" i="18"/>
  <c r="I264" i="18"/>
  <c r="I280" i="18"/>
  <c r="L280" i="18" s="1"/>
  <c r="I269" i="18"/>
  <c r="I252" i="18"/>
  <c r="J259" i="18"/>
  <c r="J269" i="18"/>
  <c r="I262" i="18"/>
  <c r="I263" i="18"/>
  <c r="J263" i="18"/>
  <c r="J264" i="18"/>
  <c r="I251" i="18"/>
  <c r="J253" i="18"/>
  <c r="J265" i="18"/>
  <c r="J266" i="18"/>
  <c r="J267" i="18"/>
  <c r="I293" i="18"/>
  <c r="J268" i="18"/>
  <c r="I256" i="18"/>
  <c r="J256" i="18"/>
  <c r="J251" i="18"/>
  <c r="I272" i="18"/>
  <c r="J270" i="18"/>
  <c r="I267" i="18"/>
  <c r="J271" i="18"/>
  <c r="I254" i="18"/>
  <c r="I255" i="18"/>
  <c r="J254" i="18"/>
  <c r="I266" i="18"/>
  <c r="I271" i="18"/>
  <c r="I265" i="18"/>
  <c r="I270" i="18"/>
  <c r="M250" i="18"/>
  <c r="N250" i="18" s="1"/>
  <c r="O250" i="18" s="1"/>
  <c r="L250" i="18"/>
  <c r="K250" i="18"/>
  <c r="L212" i="18"/>
  <c r="I207" i="18"/>
  <c r="I193" i="18"/>
  <c r="J214" i="18"/>
  <c r="J193" i="18"/>
  <c r="I194" i="18"/>
  <c r="I209" i="18"/>
  <c r="J207" i="18"/>
  <c r="K215" i="18"/>
  <c r="L215" i="18"/>
  <c r="M215" i="18"/>
  <c r="N215" i="18" s="1"/>
  <c r="O215" i="18" s="1"/>
  <c r="L206" i="18"/>
  <c r="J206" i="18"/>
  <c r="K206" i="18" s="1"/>
  <c r="J204" i="18"/>
  <c r="I198" i="18"/>
  <c r="I203" i="18"/>
  <c r="J209" i="18"/>
  <c r="L200" i="18"/>
  <c r="I214" i="18"/>
  <c r="I197" i="18"/>
  <c r="J195" i="18"/>
  <c r="M195" i="18" s="1"/>
  <c r="N195" i="18" s="1"/>
  <c r="O195" i="18" s="1"/>
  <c r="J197" i="18"/>
  <c r="J198" i="18"/>
  <c r="K210" i="18"/>
  <c r="K192" i="18"/>
  <c r="L192" i="18"/>
  <c r="L195" i="18"/>
  <c r="L213" i="18"/>
  <c r="J196" i="18"/>
  <c r="K196" i="18" s="1"/>
  <c r="I201" i="18"/>
  <c r="J199" i="18"/>
  <c r="J212" i="18"/>
  <c r="I202" i="18"/>
  <c r="I208" i="18"/>
  <c r="L211" i="18"/>
  <c r="L196" i="18"/>
  <c r="L205" i="18"/>
  <c r="M205" i="18"/>
  <c r="N205" i="18" s="1"/>
  <c r="O205" i="18" s="1"/>
  <c r="I191" i="18"/>
  <c r="I136" i="18"/>
  <c r="J154" i="18"/>
  <c r="J153" i="18"/>
  <c r="I135" i="18"/>
  <c r="I143" i="18"/>
  <c r="J137" i="18"/>
  <c r="I133" i="18"/>
  <c r="J151" i="18"/>
  <c r="J141" i="18"/>
  <c r="I138" i="18"/>
  <c r="J136" i="18"/>
  <c r="J135" i="18"/>
  <c r="I147" i="18"/>
  <c r="I137" i="18"/>
  <c r="J138" i="18"/>
  <c r="J132" i="18"/>
  <c r="I142" i="18"/>
  <c r="I153" i="18"/>
  <c r="J134" i="18"/>
  <c r="I154" i="18"/>
  <c r="I140" i="18"/>
  <c r="I144" i="18"/>
  <c r="J155" i="18"/>
  <c r="J145" i="18"/>
  <c r="I132" i="18"/>
  <c r="I141" i="18"/>
  <c r="J148" i="18"/>
  <c r="J149" i="18"/>
  <c r="I139" i="18"/>
  <c r="J140" i="18"/>
  <c r="I151" i="18"/>
  <c r="J142" i="18"/>
  <c r="J152" i="18"/>
  <c r="I150" i="18"/>
  <c r="J143" i="18"/>
  <c r="J144" i="18"/>
  <c r="I155" i="18"/>
  <c r="I148" i="18"/>
  <c r="I145" i="18"/>
  <c r="J150" i="18"/>
  <c r="I146" i="18"/>
  <c r="J146" i="18"/>
  <c r="J147" i="18"/>
  <c r="J133" i="18"/>
  <c r="I134" i="18"/>
  <c r="I152" i="18"/>
  <c r="I149" i="18"/>
  <c r="J139" i="18"/>
  <c r="M131" i="18"/>
  <c r="N131" i="18" s="1"/>
  <c r="O131" i="18" s="1"/>
  <c r="L131" i="18"/>
  <c r="K131" i="18"/>
  <c r="I82" i="18"/>
  <c r="I80" i="18"/>
  <c r="J94" i="18"/>
  <c r="J71" i="18"/>
  <c r="I92" i="18"/>
  <c r="I84" i="18"/>
  <c r="I83" i="18"/>
  <c r="I88" i="18"/>
  <c r="I78" i="18"/>
  <c r="I76" i="18"/>
  <c r="J85" i="18"/>
  <c r="J72" i="18"/>
  <c r="K72" i="18" s="1"/>
  <c r="I86" i="18"/>
  <c r="I75" i="18"/>
  <c r="I74" i="18"/>
  <c r="I89" i="18"/>
  <c r="I71" i="18"/>
  <c r="J86" i="18"/>
  <c r="J90" i="18"/>
  <c r="J93" i="18"/>
  <c r="J75" i="18"/>
  <c r="J76" i="18"/>
  <c r="I90" i="18"/>
  <c r="I79" i="18"/>
  <c r="I77" i="18"/>
  <c r="I87" i="18"/>
  <c r="J89" i="18"/>
  <c r="J79" i="18"/>
  <c r="J80" i="18"/>
  <c r="I93" i="18"/>
  <c r="I85" i="18"/>
  <c r="I91" i="18"/>
  <c r="J74" i="18"/>
  <c r="J83" i="18"/>
  <c r="J84" i="18"/>
  <c r="I94" i="18"/>
  <c r="I81" i="18"/>
  <c r="I73" i="18"/>
  <c r="M70" i="18"/>
  <c r="N70" i="18" s="1"/>
  <c r="O70" i="18" s="1"/>
  <c r="L70" i="18"/>
  <c r="K70" i="18"/>
  <c r="J25" i="18"/>
  <c r="J21" i="18"/>
  <c r="I10" i="18"/>
  <c r="J19" i="18"/>
  <c r="J30" i="18"/>
  <c r="J29" i="18"/>
  <c r="K29" i="18" s="1"/>
  <c r="I22" i="18"/>
  <c r="J15" i="18"/>
  <c r="I25" i="18"/>
  <c r="K20" i="18"/>
  <c r="L20" i="18"/>
  <c r="M20" i="18"/>
  <c r="N20" i="18" s="1"/>
  <c r="O20" i="18" s="1"/>
  <c r="I13" i="18"/>
  <c r="I14" i="18"/>
  <c r="J32" i="18"/>
  <c r="K32" i="18" s="1"/>
  <c r="I23" i="18"/>
  <c r="L29" i="18"/>
  <c r="I11" i="18"/>
  <c r="J11" i="18"/>
  <c r="J12" i="18"/>
  <c r="L24" i="18"/>
  <c r="L32" i="18"/>
  <c r="L30" i="18"/>
  <c r="L9" i="18"/>
  <c r="M9" i="18" s="1"/>
  <c r="N9" i="18" s="1"/>
  <c r="O9" i="18" s="1"/>
  <c r="K9" i="18"/>
  <c r="I283" i="18"/>
  <c r="I288" i="18"/>
  <c r="I287" i="18"/>
  <c r="I299" i="18"/>
  <c r="I285" i="18"/>
  <c r="I292" i="18"/>
  <c r="I53" i="18"/>
  <c r="I406" i="18"/>
  <c r="K406" i="18" s="1"/>
  <c r="J404" i="18"/>
  <c r="J402" i="18"/>
  <c r="L402" i="18" s="1"/>
  <c r="I394" i="18"/>
  <c r="J284" i="18"/>
  <c r="I176" i="18"/>
  <c r="J179" i="18"/>
  <c r="I114" i="18"/>
  <c r="I41" i="18"/>
  <c r="I54" i="18"/>
  <c r="I289" i="18"/>
  <c r="I286" i="18"/>
  <c r="I52" i="18"/>
  <c r="I278" i="18"/>
  <c r="I297" i="18"/>
  <c r="I295" i="18"/>
  <c r="I296" i="18"/>
  <c r="I294" i="18"/>
  <c r="I37" i="18"/>
  <c r="I298" i="18"/>
  <c r="I47" i="18"/>
  <c r="I44" i="18"/>
  <c r="I51" i="18"/>
  <c r="I39" i="18"/>
  <c r="I55" i="18"/>
  <c r="I49" i="18"/>
  <c r="I40" i="18"/>
  <c r="I48" i="18"/>
  <c r="I35" i="18"/>
  <c r="I42" i="18"/>
  <c r="I290" i="18"/>
  <c r="J118" i="18"/>
  <c r="I34" i="18"/>
  <c r="I284" i="18"/>
  <c r="J44" i="18"/>
  <c r="I291" i="18"/>
  <c r="I281" i="18"/>
  <c r="I275" i="18"/>
  <c r="J45" i="18"/>
  <c r="I276" i="18"/>
  <c r="I277" i="18"/>
  <c r="I282" i="18"/>
  <c r="I279" i="18"/>
  <c r="J113" i="18"/>
  <c r="J115" i="18"/>
  <c r="J104" i="18"/>
  <c r="J111" i="18"/>
  <c r="J114" i="18"/>
  <c r="J223" i="18"/>
  <c r="J227" i="18"/>
  <c r="K227" i="18" s="1"/>
  <c r="I46" i="18"/>
  <c r="I38" i="18"/>
  <c r="J112" i="18"/>
  <c r="J101" i="18"/>
  <c r="J105" i="18"/>
  <c r="J116" i="18"/>
  <c r="J97" i="18"/>
  <c r="J107" i="18"/>
  <c r="I50" i="18"/>
  <c r="J106" i="18"/>
  <c r="I45" i="18"/>
  <c r="J95" i="18"/>
  <c r="J110" i="18"/>
  <c r="J103" i="18"/>
  <c r="J100" i="18"/>
  <c r="J98" i="18"/>
  <c r="J108" i="18"/>
  <c r="I36" i="18"/>
  <c r="J99" i="18"/>
  <c r="J117" i="18"/>
  <c r="I56" i="18"/>
  <c r="J102" i="18"/>
  <c r="J109" i="18"/>
  <c r="I58" i="18"/>
  <c r="J96" i="18"/>
  <c r="J119" i="18"/>
  <c r="J218" i="18"/>
  <c r="I225" i="18"/>
  <c r="J217" i="18"/>
  <c r="I218" i="18"/>
  <c r="J234" i="18"/>
  <c r="J226" i="18"/>
  <c r="I233" i="18"/>
  <c r="J232" i="18"/>
  <c r="I240" i="18"/>
  <c r="J216" i="18"/>
  <c r="I220" i="18"/>
  <c r="J235" i="18"/>
  <c r="J239" i="18"/>
  <c r="J219" i="18"/>
  <c r="J233" i="18"/>
  <c r="J224" i="18"/>
  <c r="J225" i="18"/>
  <c r="I156" i="18"/>
  <c r="J47" i="18"/>
  <c r="J156" i="18"/>
  <c r="J48" i="18"/>
  <c r="J55" i="18"/>
  <c r="J42" i="18"/>
  <c r="J57" i="18"/>
  <c r="J50" i="18"/>
  <c r="J51" i="18"/>
  <c r="J34" i="18"/>
  <c r="I95" i="18"/>
  <c r="J41" i="18"/>
  <c r="J56" i="18"/>
  <c r="J35" i="18"/>
  <c r="J43" i="18"/>
  <c r="J52" i="18"/>
  <c r="J37" i="18"/>
  <c r="J46" i="18"/>
  <c r="J39" i="18"/>
  <c r="J54" i="18"/>
  <c r="J36" i="18"/>
  <c r="J49" i="18"/>
  <c r="J38" i="18"/>
  <c r="J53" i="18"/>
  <c r="J58" i="18"/>
  <c r="J40" i="18"/>
  <c r="I178" i="18"/>
  <c r="I161" i="18"/>
  <c r="I165" i="18"/>
  <c r="I173" i="18"/>
  <c r="I170" i="18"/>
  <c r="I102" i="18"/>
  <c r="I226" i="18"/>
  <c r="J298" i="18"/>
  <c r="J222" i="18"/>
  <c r="J238" i="18"/>
  <c r="J230" i="18"/>
  <c r="J229" i="18"/>
  <c r="J237" i="18"/>
  <c r="I236" i="18"/>
  <c r="J220" i="18"/>
  <c r="J236" i="18"/>
  <c r="J228" i="18"/>
  <c r="J231" i="18"/>
  <c r="J294" i="18"/>
  <c r="J240" i="18"/>
  <c r="J221" i="18"/>
  <c r="I232" i="18"/>
  <c r="I230" i="18"/>
  <c r="I97" i="18"/>
  <c r="I103" i="18"/>
  <c r="L103" i="18" s="1"/>
  <c r="I113" i="18"/>
  <c r="I106" i="18"/>
  <c r="I104" i="18"/>
  <c r="I117" i="18"/>
  <c r="I111" i="18"/>
  <c r="I118" i="18"/>
  <c r="I100" i="18"/>
  <c r="L100" i="18" s="1"/>
  <c r="I119" i="18"/>
  <c r="I115" i="18"/>
  <c r="I158" i="18"/>
  <c r="I180" i="18"/>
  <c r="I177" i="18"/>
  <c r="I179" i="18"/>
  <c r="L179" i="18" s="1"/>
  <c r="I167" i="18"/>
  <c r="J295" i="18"/>
  <c r="J286" i="18"/>
  <c r="J288" i="18"/>
  <c r="J277" i="18"/>
  <c r="J292" i="18"/>
  <c r="J296" i="18"/>
  <c r="J276" i="18"/>
  <c r="J289" i="18"/>
  <c r="J285" i="18"/>
  <c r="J282" i="18"/>
  <c r="J283" i="18"/>
  <c r="J287" i="18"/>
  <c r="J297" i="18"/>
  <c r="J293" i="18"/>
  <c r="J290" i="18"/>
  <c r="I409" i="18"/>
  <c r="I405" i="18"/>
  <c r="J396" i="18"/>
  <c r="K396" i="18" s="1"/>
  <c r="J400" i="18"/>
  <c r="K400" i="18" s="1"/>
  <c r="I397" i="18"/>
  <c r="I399" i="18"/>
  <c r="I401" i="18"/>
  <c r="L404" i="18"/>
  <c r="I403" i="18"/>
  <c r="I410" i="18"/>
  <c r="I395" i="18"/>
  <c r="J412" i="18"/>
  <c r="J416" i="18"/>
  <c r="K416" i="18" s="1"/>
  <c r="I413" i="18"/>
  <c r="I415" i="18"/>
  <c r="I417" i="18"/>
  <c r="I407" i="18"/>
  <c r="J398" i="18"/>
  <c r="I411" i="18"/>
  <c r="J414" i="18"/>
  <c r="K414" i="18" s="1"/>
  <c r="I393" i="18"/>
  <c r="J408" i="18"/>
  <c r="J281" i="18"/>
  <c r="J279" i="18"/>
  <c r="J280" i="18"/>
  <c r="J275" i="18"/>
  <c r="J278" i="18"/>
  <c r="J291" i="18"/>
  <c r="J299" i="18"/>
  <c r="I238" i="18"/>
  <c r="I234" i="18"/>
  <c r="I216" i="18"/>
  <c r="I221" i="18"/>
  <c r="I222" i="18"/>
  <c r="I229" i="18"/>
  <c r="I237" i="18"/>
  <c r="I219" i="18"/>
  <c r="I239" i="18"/>
  <c r="I224" i="18"/>
  <c r="I217" i="18"/>
  <c r="I235" i="18"/>
  <c r="I228" i="18"/>
  <c r="I231" i="18"/>
  <c r="I223" i="18"/>
  <c r="L223" i="18" s="1"/>
  <c r="I172" i="18"/>
  <c r="I96" i="18"/>
  <c r="I107" i="18"/>
  <c r="I159" i="18"/>
  <c r="I175" i="18"/>
  <c r="I98" i="18"/>
  <c r="I112" i="18"/>
  <c r="J178" i="18"/>
  <c r="I157" i="18"/>
  <c r="I101" i="18"/>
  <c r="I116" i="18"/>
  <c r="I166" i="18"/>
  <c r="I160" i="18"/>
  <c r="I164" i="18"/>
  <c r="I174" i="18"/>
  <c r="I57" i="18"/>
  <c r="J165" i="18"/>
  <c r="J157" i="18"/>
  <c r="J173" i="18"/>
  <c r="J169" i="18"/>
  <c r="J161" i="18"/>
  <c r="J166" i="18"/>
  <c r="J158" i="18"/>
  <c r="J162" i="18"/>
  <c r="J172" i="18"/>
  <c r="J163" i="18"/>
  <c r="J164" i="18"/>
  <c r="J160" i="18"/>
  <c r="J167" i="18"/>
  <c r="J174" i="18"/>
  <c r="J177" i="18"/>
  <c r="J159" i="18"/>
  <c r="J171" i="18"/>
  <c r="J168" i="18"/>
  <c r="J170" i="18"/>
  <c r="L170" i="18" s="1"/>
  <c r="I108" i="18"/>
  <c r="I109" i="18"/>
  <c r="I105" i="18"/>
  <c r="I110" i="18"/>
  <c r="J175" i="18"/>
  <c r="I168" i="18"/>
  <c r="I171" i="18"/>
  <c r="I169" i="18"/>
  <c r="I43" i="18"/>
  <c r="I163" i="18"/>
  <c r="I162" i="18"/>
  <c r="I99" i="18"/>
  <c r="J180" i="18"/>
  <c r="J176" i="18"/>
  <c r="K386" i="18" l="1"/>
  <c r="M386" i="18"/>
  <c r="N386" i="18" s="1"/>
  <c r="O386" i="18" s="1"/>
  <c r="K370" i="18"/>
  <c r="L391" i="18"/>
  <c r="L370" i="18"/>
  <c r="M391" i="18"/>
  <c r="N391" i="18" s="1"/>
  <c r="O391" i="18" s="1"/>
  <c r="K408" i="18"/>
  <c r="L347" i="18"/>
  <c r="K315" i="18"/>
  <c r="K354" i="18"/>
  <c r="K347" i="18"/>
  <c r="M354" i="18"/>
  <c r="N354" i="18" s="1"/>
  <c r="O354" i="18" s="1"/>
  <c r="L354" i="18"/>
  <c r="L298" i="18"/>
  <c r="K204" i="18"/>
  <c r="K205" i="18"/>
  <c r="M212" i="18"/>
  <c r="N212" i="18" s="1"/>
  <c r="O212" i="18" s="1"/>
  <c r="M210" i="18"/>
  <c r="N210" i="18" s="1"/>
  <c r="O210" i="18" s="1"/>
  <c r="M211" i="18"/>
  <c r="N211" i="18" s="1"/>
  <c r="O211" i="18" s="1"/>
  <c r="M213" i="18"/>
  <c r="N213" i="18" s="1"/>
  <c r="O213" i="18" s="1"/>
  <c r="K213" i="18"/>
  <c r="M200" i="18"/>
  <c r="N200" i="18" s="1"/>
  <c r="O200" i="18" s="1"/>
  <c r="K195" i="18"/>
  <c r="M196" i="18"/>
  <c r="N196" i="18" s="1"/>
  <c r="O196" i="18" s="1"/>
  <c r="K199" i="18"/>
  <c r="M17" i="18"/>
  <c r="N17" i="18" s="1"/>
  <c r="O17" i="18" s="1"/>
  <c r="K16" i="18"/>
  <c r="K18" i="18"/>
  <c r="M30" i="18"/>
  <c r="N30" i="18" s="1"/>
  <c r="O30" i="18" s="1"/>
  <c r="M18" i="18"/>
  <c r="N18" i="18" s="1"/>
  <c r="O18" i="18" s="1"/>
  <c r="K19" i="18"/>
  <c r="M33" i="18"/>
  <c r="N33" i="18" s="1"/>
  <c r="O33" i="18" s="1"/>
  <c r="K33" i="18"/>
  <c r="K31" i="18"/>
  <c r="K21" i="18"/>
  <c r="L17" i="18"/>
  <c r="M15" i="18"/>
  <c r="N15" i="18" s="1"/>
  <c r="O15" i="18" s="1"/>
  <c r="M26" i="18"/>
  <c r="N26" i="18" s="1"/>
  <c r="O26" i="18" s="1"/>
  <c r="K27" i="18"/>
  <c r="L26" i="18"/>
  <c r="M24" i="18"/>
  <c r="N24" i="18" s="1"/>
  <c r="O24" i="18" s="1"/>
  <c r="M28" i="18"/>
  <c r="N28" i="18" s="1"/>
  <c r="O28" i="18" s="1"/>
  <c r="M31" i="18"/>
  <c r="N31" i="18" s="1"/>
  <c r="O31" i="18" s="1"/>
  <c r="K15" i="18"/>
  <c r="L27" i="18"/>
  <c r="M21" i="18"/>
  <c r="N21" i="18" s="1"/>
  <c r="O21" i="18" s="1"/>
  <c r="M27" i="18"/>
  <c r="N27" i="18" s="1"/>
  <c r="O27" i="18" s="1"/>
  <c r="M16" i="18"/>
  <c r="N16" i="18" s="1"/>
  <c r="O16" i="18" s="1"/>
  <c r="L28" i="18"/>
  <c r="K12" i="18"/>
  <c r="L378" i="18"/>
  <c r="K378" i="18"/>
  <c r="M378" i="18"/>
  <c r="N378" i="18" s="1"/>
  <c r="O378" i="18" s="1"/>
  <c r="L374" i="18"/>
  <c r="M374" i="18"/>
  <c r="N374" i="18" s="1"/>
  <c r="O374" i="18" s="1"/>
  <c r="K374" i="18"/>
  <c r="K388" i="18"/>
  <c r="L388" i="18"/>
  <c r="M388" i="18"/>
  <c r="N388" i="18" s="1"/>
  <c r="O388" i="18" s="1"/>
  <c r="L390" i="18"/>
  <c r="M390" i="18"/>
  <c r="N390" i="18" s="1"/>
  <c r="O390" i="18" s="1"/>
  <c r="K390" i="18"/>
  <c r="K377" i="18"/>
  <c r="L377" i="18"/>
  <c r="M377" i="18"/>
  <c r="N377" i="18" s="1"/>
  <c r="O377" i="18" s="1"/>
  <c r="M371" i="18"/>
  <c r="N371" i="18" s="1"/>
  <c r="O371" i="18" s="1"/>
  <c r="K371" i="18"/>
  <c r="L371" i="18"/>
  <c r="K369" i="18"/>
  <c r="L369" i="18"/>
  <c r="M369" i="18"/>
  <c r="N369" i="18" s="1"/>
  <c r="O369" i="18" s="1"/>
  <c r="K372" i="18"/>
  <c r="L372" i="18"/>
  <c r="M372" i="18"/>
  <c r="N372" i="18" s="1"/>
  <c r="O372" i="18" s="1"/>
  <c r="K389" i="18"/>
  <c r="L389" i="18"/>
  <c r="M389" i="18"/>
  <c r="N389" i="18" s="1"/>
  <c r="O389" i="18" s="1"/>
  <c r="K392" i="18"/>
  <c r="L392" i="18"/>
  <c r="M392" i="18"/>
  <c r="N392" i="18" s="1"/>
  <c r="O392" i="18" s="1"/>
  <c r="M387" i="18"/>
  <c r="N387" i="18" s="1"/>
  <c r="O387" i="18" s="1"/>
  <c r="K387" i="18"/>
  <c r="L387" i="18"/>
  <c r="K380" i="18"/>
  <c r="L380" i="18"/>
  <c r="M380" i="18"/>
  <c r="N380" i="18" s="1"/>
  <c r="O380" i="18" s="1"/>
  <c r="K376" i="18"/>
  <c r="L376" i="18"/>
  <c r="M376" i="18"/>
  <c r="N376" i="18" s="1"/>
  <c r="O376" i="18" s="1"/>
  <c r="K385" i="18"/>
  <c r="L385" i="18"/>
  <c r="M385" i="18"/>
  <c r="N385" i="18" s="1"/>
  <c r="O385" i="18" s="1"/>
  <c r="M383" i="18"/>
  <c r="N383" i="18" s="1"/>
  <c r="O383" i="18" s="1"/>
  <c r="K383" i="18"/>
  <c r="L383" i="18"/>
  <c r="K384" i="18"/>
  <c r="L384" i="18"/>
  <c r="M384" i="18"/>
  <c r="N384" i="18" s="1"/>
  <c r="O384" i="18" s="1"/>
  <c r="M375" i="18"/>
  <c r="N375" i="18" s="1"/>
  <c r="O375" i="18" s="1"/>
  <c r="K375" i="18"/>
  <c r="L375" i="18"/>
  <c r="K373" i="18"/>
  <c r="L373" i="18"/>
  <c r="M373" i="18"/>
  <c r="N373" i="18" s="1"/>
  <c r="O373" i="18" s="1"/>
  <c r="K332" i="18"/>
  <c r="M332" i="18"/>
  <c r="N332" i="18" s="1"/>
  <c r="O332" i="18" s="1"/>
  <c r="L332" i="18"/>
  <c r="K321" i="18"/>
  <c r="L321" i="18"/>
  <c r="M321" i="18"/>
  <c r="N321" i="18" s="1"/>
  <c r="O321" i="18" s="1"/>
  <c r="L327" i="18"/>
  <c r="M327" i="18"/>
  <c r="N327" i="18" s="1"/>
  <c r="O327" i="18" s="1"/>
  <c r="K327" i="18"/>
  <c r="K330" i="18"/>
  <c r="L330" i="18"/>
  <c r="M330" i="18"/>
  <c r="N330" i="18" s="1"/>
  <c r="O330" i="18" s="1"/>
  <c r="K337" i="18"/>
  <c r="L353" i="18"/>
  <c r="M353" i="18"/>
  <c r="N353" i="18" s="1"/>
  <c r="O353" i="18" s="1"/>
  <c r="K353" i="18"/>
  <c r="K334" i="18"/>
  <c r="L334" i="18"/>
  <c r="M334" i="18"/>
  <c r="N334" i="18" s="1"/>
  <c r="O334" i="18" s="1"/>
  <c r="K314" i="18"/>
  <c r="M314" i="18"/>
  <c r="N314" i="18" s="1"/>
  <c r="O314" i="18" s="1"/>
  <c r="L314" i="18"/>
  <c r="K313" i="18"/>
  <c r="L313" i="18"/>
  <c r="M313" i="18"/>
  <c r="N313" i="18" s="1"/>
  <c r="O313" i="18" s="1"/>
  <c r="K320" i="18"/>
  <c r="L320" i="18"/>
  <c r="M320" i="18"/>
  <c r="N320" i="18" s="1"/>
  <c r="O320" i="18" s="1"/>
  <c r="K342" i="18"/>
  <c r="L342" i="18"/>
  <c r="M342" i="18"/>
  <c r="N342" i="18" s="1"/>
  <c r="O342" i="18" s="1"/>
  <c r="L323" i="18"/>
  <c r="M323" i="18"/>
  <c r="N323" i="18" s="1"/>
  <c r="O323" i="18" s="1"/>
  <c r="K323" i="18"/>
  <c r="K336" i="18"/>
  <c r="L336" i="18"/>
  <c r="M336" i="18"/>
  <c r="N336" i="18" s="1"/>
  <c r="O336" i="18" s="1"/>
  <c r="K340" i="18"/>
  <c r="L340" i="18"/>
  <c r="M340" i="18"/>
  <c r="N340" i="18" s="1"/>
  <c r="O340" i="18" s="1"/>
  <c r="K322" i="18"/>
  <c r="L322" i="18"/>
  <c r="M322" i="18"/>
  <c r="N322" i="18" s="1"/>
  <c r="O322" i="18" s="1"/>
  <c r="L345" i="18"/>
  <c r="M345" i="18"/>
  <c r="N345" i="18" s="1"/>
  <c r="O345" i="18" s="1"/>
  <c r="K345" i="18"/>
  <c r="L333" i="18"/>
  <c r="M333" i="18"/>
  <c r="N333" i="18" s="1"/>
  <c r="O333" i="18" s="1"/>
  <c r="K333" i="18"/>
  <c r="L331" i="18"/>
  <c r="M331" i="18"/>
  <c r="N331" i="18" s="1"/>
  <c r="O331" i="18" s="1"/>
  <c r="K331" i="18"/>
  <c r="K344" i="18"/>
  <c r="L344" i="18"/>
  <c r="M344" i="18"/>
  <c r="N344" i="18" s="1"/>
  <c r="O344" i="18" s="1"/>
  <c r="K346" i="18"/>
  <c r="L346" i="18"/>
  <c r="M346" i="18"/>
  <c r="N346" i="18" s="1"/>
  <c r="O346" i="18" s="1"/>
  <c r="L339" i="18"/>
  <c r="M339" i="18"/>
  <c r="N339" i="18" s="1"/>
  <c r="O339" i="18" s="1"/>
  <c r="K339" i="18"/>
  <c r="K358" i="18"/>
  <c r="L358" i="18"/>
  <c r="M358" i="18"/>
  <c r="N358" i="18" s="1"/>
  <c r="O358" i="18" s="1"/>
  <c r="L351" i="18"/>
  <c r="M351" i="18"/>
  <c r="N351" i="18" s="1"/>
  <c r="O351" i="18" s="1"/>
  <c r="K351" i="18"/>
  <c r="K356" i="18"/>
  <c r="L356" i="18"/>
  <c r="M356" i="18"/>
  <c r="N356" i="18" s="1"/>
  <c r="O356" i="18" s="1"/>
  <c r="L343" i="18"/>
  <c r="M343" i="18"/>
  <c r="N343" i="18" s="1"/>
  <c r="O343" i="18" s="1"/>
  <c r="H36" i="19" s="1"/>
  <c r="K343" i="18"/>
  <c r="K317" i="18"/>
  <c r="L317" i="18"/>
  <c r="M317" i="18"/>
  <c r="N317" i="18" s="1"/>
  <c r="O317" i="18" s="1"/>
  <c r="L357" i="18"/>
  <c r="M357" i="18"/>
  <c r="N357" i="18" s="1"/>
  <c r="O357" i="18" s="1"/>
  <c r="K357" i="18"/>
  <c r="L311" i="18"/>
  <c r="M311" i="18"/>
  <c r="N311" i="18" s="1"/>
  <c r="O311" i="18" s="1"/>
  <c r="K311" i="18"/>
  <c r="L335" i="18"/>
  <c r="M335" i="18"/>
  <c r="N335" i="18" s="1"/>
  <c r="O335" i="18" s="1"/>
  <c r="K335" i="18"/>
  <c r="K326" i="18"/>
  <c r="L326" i="18"/>
  <c r="M326" i="18"/>
  <c r="N326" i="18" s="1"/>
  <c r="O326" i="18" s="1"/>
  <c r="K325" i="18"/>
  <c r="L325" i="18"/>
  <c r="M325" i="18"/>
  <c r="N325" i="18" s="1"/>
  <c r="O325" i="18" s="1"/>
  <c r="L329" i="18"/>
  <c r="M329" i="18"/>
  <c r="N329" i="18" s="1"/>
  <c r="O329" i="18" s="1"/>
  <c r="K329" i="18"/>
  <c r="K312" i="18"/>
  <c r="L312" i="18"/>
  <c r="M312" i="18"/>
  <c r="N312" i="18" s="1"/>
  <c r="O312" i="18" s="1"/>
  <c r="K352" i="18"/>
  <c r="L352" i="18"/>
  <c r="M352" i="18"/>
  <c r="N352" i="18" s="1"/>
  <c r="O352" i="18" s="1"/>
  <c r="K338" i="18"/>
  <c r="L338" i="18"/>
  <c r="M338" i="18"/>
  <c r="N338" i="18" s="1"/>
  <c r="O338" i="18" s="1"/>
  <c r="K348" i="18"/>
  <c r="M348" i="18"/>
  <c r="N348" i="18" s="1"/>
  <c r="O348" i="18" s="1"/>
  <c r="H41" i="19" s="1"/>
  <c r="L348" i="18"/>
  <c r="K350" i="18"/>
  <c r="L350" i="18"/>
  <c r="M350" i="18"/>
  <c r="N350" i="18" s="1"/>
  <c r="O350" i="18" s="1"/>
  <c r="K318" i="18"/>
  <c r="L318" i="18"/>
  <c r="M318" i="18"/>
  <c r="N318" i="18" s="1"/>
  <c r="O318" i="18" s="1"/>
  <c r="K324" i="18"/>
  <c r="L324" i="18"/>
  <c r="M324" i="18"/>
  <c r="N324" i="18" s="1"/>
  <c r="O324" i="18" s="1"/>
  <c r="L316" i="18"/>
  <c r="K316" i="18"/>
  <c r="M316" i="18"/>
  <c r="N316" i="18" s="1"/>
  <c r="O316" i="18" s="1"/>
  <c r="L355" i="18"/>
  <c r="M355" i="18"/>
  <c r="N355" i="18" s="1"/>
  <c r="O355" i="18" s="1"/>
  <c r="K355" i="18"/>
  <c r="L349" i="18"/>
  <c r="M349" i="18"/>
  <c r="N349" i="18" s="1"/>
  <c r="O349" i="18" s="1"/>
  <c r="K349" i="18"/>
  <c r="K310" i="18"/>
  <c r="M310" i="18"/>
  <c r="N310" i="18" s="1"/>
  <c r="O310" i="18" s="1"/>
  <c r="L310" i="18"/>
  <c r="L341" i="18"/>
  <c r="M341" i="18"/>
  <c r="N341" i="18" s="1"/>
  <c r="O341" i="18" s="1"/>
  <c r="K341" i="18"/>
  <c r="L319" i="18"/>
  <c r="M319" i="18"/>
  <c r="N319" i="18" s="1"/>
  <c r="O319" i="18" s="1"/>
  <c r="K319" i="18"/>
  <c r="L273" i="18"/>
  <c r="M273" i="18"/>
  <c r="N273" i="18" s="1"/>
  <c r="O273" i="18" s="1"/>
  <c r="K273" i="18"/>
  <c r="K293" i="18"/>
  <c r="K255" i="18"/>
  <c r="L255" i="18"/>
  <c r="M255" i="18"/>
  <c r="N255" i="18" s="1"/>
  <c r="O255" i="18" s="1"/>
  <c r="L256" i="18"/>
  <c r="M256" i="18"/>
  <c r="N256" i="18" s="1"/>
  <c r="O256" i="18" s="1"/>
  <c r="K256" i="18"/>
  <c r="L260" i="18"/>
  <c r="M260" i="18"/>
  <c r="N260" i="18" s="1"/>
  <c r="O260" i="18" s="1"/>
  <c r="K260" i="18"/>
  <c r="K266" i="18"/>
  <c r="L266" i="18"/>
  <c r="M266" i="18"/>
  <c r="N266" i="18" s="1"/>
  <c r="O266" i="18" s="1"/>
  <c r="L252" i="18"/>
  <c r="M252" i="18"/>
  <c r="N252" i="18" s="1"/>
  <c r="O252" i="18" s="1"/>
  <c r="K252" i="18"/>
  <c r="K254" i="18"/>
  <c r="L254" i="18"/>
  <c r="M254" i="18"/>
  <c r="N254" i="18" s="1"/>
  <c r="O254" i="18" s="1"/>
  <c r="L264" i="18"/>
  <c r="M264" i="18"/>
  <c r="N264" i="18" s="1"/>
  <c r="O264" i="18" s="1"/>
  <c r="K264" i="18"/>
  <c r="L261" i="18"/>
  <c r="K261" i="18"/>
  <c r="M261" i="18"/>
  <c r="N261" i="18" s="1"/>
  <c r="O261" i="18" s="1"/>
  <c r="K270" i="18"/>
  <c r="L270" i="18"/>
  <c r="M270" i="18"/>
  <c r="N270" i="18" s="1"/>
  <c r="O270" i="18" s="1"/>
  <c r="K267" i="18"/>
  <c r="L267" i="18"/>
  <c r="M267" i="18"/>
  <c r="N267" i="18" s="1"/>
  <c r="O267" i="18" s="1"/>
  <c r="K262" i="18"/>
  <c r="L262" i="18"/>
  <c r="M262" i="18"/>
  <c r="N262" i="18" s="1"/>
  <c r="O262" i="18" s="1"/>
  <c r="K274" i="18"/>
  <c r="L274" i="18"/>
  <c r="M274" i="18"/>
  <c r="N274" i="18" s="1"/>
  <c r="O274" i="18" s="1"/>
  <c r="K259" i="18"/>
  <c r="L259" i="18"/>
  <c r="M259" i="18"/>
  <c r="N259" i="18" s="1"/>
  <c r="O259" i="18" s="1"/>
  <c r="K263" i="18"/>
  <c r="L263" i="18"/>
  <c r="M263" i="18"/>
  <c r="N263" i="18" s="1"/>
  <c r="O263" i="18" s="1"/>
  <c r="K265" i="18"/>
  <c r="L265" i="18"/>
  <c r="M265" i="18"/>
  <c r="N265" i="18" s="1"/>
  <c r="O265" i="18" s="1"/>
  <c r="K258" i="18"/>
  <c r="L258" i="18"/>
  <c r="M258" i="18"/>
  <c r="N258" i="18" s="1"/>
  <c r="O258" i="18" s="1"/>
  <c r="K271" i="18"/>
  <c r="L271" i="18"/>
  <c r="M271" i="18"/>
  <c r="N271" i="18" s="1"/>
  <c r="O271" i="18" s="1"/>
  <c r="L272" i="18"/>
  <c r="M272" i="18"/>
  <c r="N272" i="18" s="1"/>
  <c r="O272" i="18" s="1"/>
  <c r="K272" i="18"/>
  <c r="L268" i="18"/>
  <c r="M268" i="18"/>
  <c r="N268" i="18" s="1"/>
  <c r="O268" i="18" s="1"/>
  <c r="K268" i="18"/>
  <c r="K251" i="18"/>
  <c r="L251" i="18"/>
  <c r="M251" i="18"/>
  <c r="N251" i="18" s="1"/>
  <c r="O251" i="18" s="1"/>
  <c r="L269" i="18"/>
  <c r="M269" i="18"/>
  <c r="N269" i="18" s="1"/>
  <c r="O269" i="18" s="1"/>
  <c r="K269" i="18"/>
  <c r="M257" i="18"/>
  <c r="N257" i="18" s="1"/>
  <c r="O257" i="18" s="1"/>
  <c r="K257" i="18"/>
  <c r="L257" i="18"/>
  <c r="L253" i="18"/>
  <c r="K253" i="18"/>
  <c r="M253" i="18"/>
  <c r="N253" i="18" s="1"/>
  <c r="O253" i="18" s="1"/>
  <c r="K207" i="18"/>
  <c r="L207" i="18"/>
  <c r="M207" i="18"/>
  <c r="N207" i="18" s="1"/>
  <c r="O207" i="18" s="1"/>
  <c r="M199" i="18"/>
  <c r="N199" i="18" s="1"/>
  <c r="O199" i="18" s="1"/>
  <c r="L201" i="18"/>
  <c r="M201" i="18"/>
  <c r="N201" i="18" s="1"/>
  <c r="O201" i="18" s="1"/>
  <c r="K201" i="18"/>
  <c r="M198" i="18"/>
  <c r="N198" i="18" s="1"/>
  <c r="O198" i="18" s="1"/>
  <c r="K198" i="18"/>
  <c r="L198" i="18"/>
  <c r="M204" i="18"/>
  <c r="N204" i="18" s="1"/>
  <c r="O204" i="18" s="1"/>
  <c r="K203" i="18"/>
  <c r="L203" i="18"/>
  <c r="M203" i="18"/>
  <c r="N203" i="18" s="1"/>
  <c r="O203" i="18" s="1"/>
  <c r="L197" i="18"/>
  <c r="M197" i="18"/>
  <c r="N197" i="18" s="1"/>
  <c r="O197" i="18" s="1"/>
  <c r="K197" i="18"/>
  <c r="M214" i="18"/>
  <c r="N214" i="18" s="1"/>
  <c r="O214" i="18" s="1"/>
  <c r="K214" i="18"/>
  <c r="L214" i="18"/>
  <c r="L209" i="18"/>
  <c r="M209" i="18"/>
  <c r="N209" i="18" s="1"/>
  <c r="O209" i="18" s="1"/>
  <c r="K209" i="18"/>
  <c r="M206" i="18"/>
  <c r="N206" i="18" s="1"/>
  <c r="O206" i="18" s="1"/>
  <c r="M194" i="18"/>
  <c r="N194" i="18" s="1"/>
  <c r="O194" i="18" s="1"/>
  <c r="K194" i="18"/>
  <c r="L194" i="18"/>
  <c r="K212" i="18"/>
  <c r="K208" i="18"/>
  <c r="M208" i="18"/>
  <c r="N208" i="18" s="1"/>
  <c r="O208" i="18" s="1"/>
  <c r="L208" i="18"/>
  <c r="L193" i="18"/>
  <c r="M193" i="18"/>
  <c r="N193" i="18" s="1"/>
  <c r="O193" i="18" s="1"/>
  <c r="K193" i="18"/>
  <c r="K202" i="18"/>
  <c r="M202" i="18"/>
  <c r="N202" i="18" s="1"/>
  <c r="O202" i="18" s="1"/>
  <c r="L202" i="18"/>
  <c r="M191" i="18"/>
  <c r="N191" i="18" s="1"/>
  <c r="O191" i="18" s="1"/>
  <c r="L191" i="18"/>
  <c r="K191" i="18"/>
  <c r="L149" i="18"/>
  <c r="M149" i="18"/>
  <c r="N149" i="18" s="1"/>
  <c r="O149" i="18" s="1"/>
  <c r="K149" i="18"/>
  <c r="L145" i="18"/>
  <c r="M145" i="18"/>
  <c r="N145" i="18" s="1"/>
  <c r="O145" i="18" s="1"/>
  <c r="K145" i="18"/>
  <c r="K151" i="18"/>
  <c r="L151" i="18"/>
  <c r="M151" i="18"/>
  <c r="N151" i="18" s="1"/>
  <c r="O151" i="18" s="1"/>
  <c r="L133" i="18"/>
  <c r="M133" i="18"/>
  <c r="N133" i="18" s="1"/>
  <c r="O133" i="18" s="1"/>
  <c r="K133" i="18"/>
  <c r="K152" i="18"/>
  <c r="L152" i="18"/>
  <c r="M152" i="18"/>
  <c r="N152" i="18" s="1"/>
  <c r="O152" i="18" s="1"/>
  <c r="K148" i="18"/>
  <c r="L148" i="18"/>
  <c r="M148" i="18"/>
  <c r="N148" i="18" s="1"/>
  <c r="O148" i="18" s="1"/>
  <c r="K144" i="18"/>
  <c r="L144" i="18"/>
  <c r="M144" i="18"/>
  <c r="N144" i="18" s="1"/>
  <c r="O144" i="18" s="1"/>
  <c r="L137" i="18"/>
  <c r="M137" i="18"/>
  <c r="N137" i="18" s="1"/>
  <c r="O137" i="18" s="1"/>
  <c r="K137" i="18"/>
  <c r="M134" i="18"/>
  <c r="N134" i="18" s="1"/>
  <c r="O134" i="18" s="1"/>
  <c r="K134" i="18"/>
  <c r="L134" i="18"/>
  <c r="K155" i="18"/>
  <c r="L155" i="18"/>
  <c r="M155" i="18"/>
  <c r="N155" i="18" s="1"/>
  <c r="O155" i="18" s="1"/>
  <c r="K139" i="18"/>
  <c r="L139" i="18"/>
  <c r="M139" i="18"/>
  <c r="N139" i="18" s="1"/>
  <c r="O139" i="18" s="1"/>
  <c r="K140" i="18"/>
  <c r="L140" i="18"/>
  <c r="M140" i="18"/>
  <c r="N140" i="18" s="1"/>
  <c r="O140" i="18" s="1"/>
  <c r="K147" i="18"/>
  <c r="L147" i="18"/>
  <c r="M147" i="18"/>
  <c r="N147" i="18" s="1"/>
  <c r="O147" i="18" s="1"/>
  <c r="K143" i="18"/>
  <c r="L143" i="18"/>
  <c r="M143" i="18"/>
  <c r="N143" i="18" s="1"/>
  <c r="O143" i="18" s="1"/>
  <c r="K154" i="18"/>
  <c r="L154" i="18"/>
  <c r="M154" i="18"/>
  <c r="N154" i="18" s="1"/>
  <c r="O154" i="18" s="1"/>
  <c r="K135" i="18"/>
  <c r="L135" i="18"/>
  <c r="M135" i="18"/>
  <c r="N135" i="18" s="1"/>
  <c r="O135" i="18" s="1"/>
  <c r="K150" i="18"/>
  <c r="L150" i="18"/>
  <c r="M150" i="18"/>
  <c r="N150" i="18" s="1"/>
  <c r="O150" i="18" s="1"/>
  <c r="L141" i="18"/>
  <c r="M141" i="18"/>
  <c r="N141" i="18" s="1"/>
  <c r="O141" i="18" s="1"/>
  <c r="K141" i="18"/>
  <c r="L153" i="18"/>
  <c r="M153" i="18"/>
  <c r="N153" i="18" s="1"/>
  <c r="O153" i="18" s="1"/>
  <c r="K153" i="18"/>
  <c r="K138" i="18"/>
  <c r="L138" i="18"/>
  <c r="M138" i="18"/>
  <c r="N138" i="18" s="1"/>
  <c r="O138" i="18" s="1"/>
  <c r="K146" i="18"/>
  <c r="L146" i="18"/>
  <c r="M146" i="18"/>
  <c r="N146" i="18" s="1"/>
  <c r="O146" i="18" s="1"/>
  <c r="K132" i="18"/>
  <c r="L132" i="18"/>
  <c r="M132" i="18"/>
  <c r="N132" i="18" s="1"/>
  <c r="O132" i="18" s="1"/>
  <c r="K142" i="18"/>
  <c r="L142" i="18"/>
  <c r="M142" i="18"/>
  <c r="N142" i="18" s="1"/>
  <c r="O142" i="18" s="1"/>
  <c r="K136" i="18"/>
  <c r="L136" i="18"/>
  <c r="M136" i="18"/>
  <c r="N136" i="18" s="1"/>
  <c r="O136" i="18" s="1"/>
  <c r="K87" i="18"/>
  <c r="L87" i="18"/>
  <c r="M87" i="18"/>
  <c r="N87" i="18" s="1"/>
  <c r="O87" i="18" s="1"/>
  <c r="L76" i="18"/>
  <c r="M76" i="18"/>
  <c r="N76" i="18" s="1"/>
  <c r="O76" i="18" s="1"/>
  <c r="K76" i="18"/>
  <c r="M72" i="18"/>
  <c r="N72" i="18" s="1"/>
  <c r="O72" i="18" s="1"/>
  <c r="K91" i="18"/>
  <c r="L91" i="18"/>
  <c r="M91" i="18"/>
  <c r="N91" i="18" s="1"/>
  <c r="O91" i="18" s="1"/>
  <c r="K79" i="18"/>
  <c r="L79" i="18"/>
  <c r="M79" i="18"/>
  <c r="N79" i="18" s="1"/>
  <c r="O79" i="18" s="1"/>
  <c r="M89" i="18"/>
  <c r="N89" i="18" s="1"/>
  <c r="O89" i="18" s="1"/>
  <c r="K89" i="18"/>
  <c r="L89" i="18"/>
  <c r="L88" i="18"/>
  <c r="M88" i="18"/>
  <c r="N88" i="18" s="1"/>
  <c r="O88" i="18" s="1"/>
  <c r="K88" i="18"/>
  <c r="K94" i="18"/>
  <c r="L94" i="18"/>
  <c r="M94" i="18"/>
  <c r="N94" i="18" s="1"/>
  <c r="O94" i="18" s="1"/>
  <c r="M85" i="18"/>
  <c r="N85" i="18" s="1"/>
  <c r="O85" i="18" s="1"/>
  <c r="L85" i="18"/>
  <c r="K85" i="18"/>
  <c r="K90" i="18"/>
  <c r="L90" i="18"/>
  <c r="M90" i="18"/>
  <c r="N90" i="18" s="1"/>
  <c r="O90" i="18" s="1"/>
  <c r="K83" i="18"/>
  <c r="L83" i="18"/>
  <c r="M83" i="18"/>
  <c r="N83" i="18" s="1"/>
  <c r="O83" i="18" s="1"/>
  <c r="L73" i="18"/>
  <c r="M73" i="18"/>
  <c r="N73" i="18" s="1"/>
  <c r="O73" i="18" s="1"/>
  <c r="K73" i="18"/>
  <c r="L93" i="18"/>
  <c r="M93" i="18"/>
  <c r="N93" i="18" s="1"/>
  <c r="O93" i="18" s="1"/>
  <c r="K93" i="18"/>
  <c r="K75" i="18"/>
  <c r="L75" i="18"/>
  <c r="M75" i="18"/>
  <c r="N75" i="18" s="1"/>
  <c r="O75" i="18" s="1"/>
  <c r="L84" i="18"/>
  <c r="M84" i="18"/>
  <c r="N84" i="18" s="1"/>
  <c r="O84" i="18" s="1"/>
  <c r="K84" i="18"/>
  <c r="K74" i="18"/>
  <c r="L74" i="18"/>
  <c r="M74" i="18"/>
  <c r="N74" i="18" s="1"/>
  <c r="O74" i="18" s="1"/>
  <c r="K81" i="18"/>
  <c r="L81" i="18"/>
  <c r="M81" i="18"/>
  <c r="N81" i="18" s="1"/>
  <c r="O81" i="18" s="1"/>
  <c r="K86" i="18"/>
  <c r="L86" i="18"/>
  <c r="M86" i="18"/>
  <c r="N86" i="18" s="1"/>
  <c r="O86" i="18" s="1"/>
  <c r="M92" i="18"/>
  <c r="N92" i="18" s="1"/>
  <c r="O92" i="18" s="1"/>
  <c r="K92" i="18"/>
  <c r="L92" i="18"/>
  <c r="L80" i="18"/>
  <c r="M80" i="18"/>
  <c r="N80" i="18" s="1"/>
  <c r="O80" i="18" s="1"/>
  <c r="K80" i="18"/>
  <c r="M77" i="18"/>
  <c r="N77" i="18" s="1"/>
  <c r="O77" i="18" s="1"/>
  <c r="L77" i="18"/>
  <c r="K77" i="18"/>
  <c r="K71" i="18"/>
  <c r="L71" i="18"/>
  <c r="M71" i="18"/>
  <c r="N71" i="18" s="1"/>
  <c r="O71" i="18" s="1"/>
  <c r="K78" i="18"/>
  <c r="L78" i="18"/>
  <c r="M78" i="18"/>
  <c r="N78" i="18" s="1"/>
  <c r="O78" i="18" s="1"/>
  <c r="K82" i="18"/>
  <c r="L82" i="18"/>
  <c r="M82" i="18"/>
  <c r="N82" i="18" s="1"/>
  <c r="O82" i="18" s="1"/>
  <c r="M29" i="18"/>
  <c r="N29" i="18" s="1"/>
  <c r="O29" i="18" s="1"/>
  <c r="L14" i="18"/>
  <c r="M14" i="18"/>
  <c r="N14" i="18" s="1"/>
  <c r="O14" i="18" s="1"/>
  <c r="K14" i="18"/>
  <c r="M19" i="18"/>
  <c r="N19" i="18" s="1"/>
  <c r="O19" i="18" s="1"/>
  <c r="L13" i="18"/>
  <c r="K13" i="18"/>
  <c r="M13" i="18"/>
  <c r="N13" i="18" s="1"/>
  <c r="O13" i="18" s="1"/>
  <c r="L10" i="18"/>
  <c r="M10" i="18"/>
  <c r="N10" i="18" s="1"/>
  <c r="O10" i="18" s="1"/>
  <c r="K10" i="18"/>
  <c r="M32" i="18"/>
  <c r="N32" i="18" s="1"/>
  <c r="O32" i="18" s="1"/>
  <c r="M12" i="18"/>
  <c r="N12" i="18" s="1"/>
  <c r="O12" i="18" s="1"/>
  <c r="K11" i="18"/>
  <c r="L11" i="18"/>
  <c r="M11" i="18"/>
  <c r="N11" i="18" s="1"/>
  <c r="O11" i="18" s="1"/>
  <c r="K25" i="18"/>
  <c r="L25" i="18"/>
  <c r="M25" i="18"/>
  <c r="N25" i="18" s="1"/>
  <c r="O25" i="18" s="1"/>
  <c r="L22" i="18"/>
  <c r="M22" i="18"/>
  <c r="N22" i="18" s="1"/>
  <c r="O22" i="18" s="1"/>
  <c r="K22" i="18"/>
  <c r="K23" i="18"/>
  <c r="M23" i="18"/>
  <c r="N23" i="18" s="1"/>
  <c r="O23" i="18" s="1"/>
  <c r="L23" i="18"/>
  <c r="L283" i="18"/>
  <c r="L290" i="18"/>
  <c r="L406" i="18"/>
  <c r="M406" i="18" s="1"/>
  <c r="N406" i="18" s="1"/>
  <c r="O406" i="18" s="1"/>
  <c r="I40" i="19" s="1"/>
  <c r="L51" i="18"/>
  <c r="L288" i="18"/>
  <c r="L287" i="18"/>
  <c r="L294" i="18"/>
  <c r="L284" i="18"/>
  <c r="L239" i="18"/>
  <c r="L227" i="18"/>
  <c r="M227" i="18" s="1"/>
  <c r="N227" i="18" s="1"/>
  <c r="O227" i="18" s="1"/>
  <c r="F38" i="19" s="1"/>
  <c r="L237" i="18"/>
  <c r="L111" i="18"/>
  <c r="K114" i="18"/>
  <c r="K53" i="18"/>
  <c r="L44" i="18"/>
  <c r="L49" i="18"/>
  <c r="K54" i="18"/>
  <c r="K52" i="18"/>
  <c r="L47" i="18"/>
  <c r="L41" i="18"/>
  <c r="L232" i="18"/>
  <c r="L225" i="18"/>
  <c r="L118" i="18"/>
  <c r="L53" i="18"/>
  <c r="L54" i="18"/>
  <c r="K41" i="18"/>
  <c r="K404" i="18"/>
  <c r="M404" i="18" s="1"/>
  <c r="N404" i="18" s="1"/>
  <c r="O404" i="18" s="1"/>
  <c r="I38" i="19" s="1"/>
  <c r="K402" i="18"/>
  <c r="M402" i="18" s="1"/>
  <c r="L408" i="18"/>
  <c r="M408" i="18" s="1"/>
  <c r="N408" i="18" s="1"/>
  <c r="O408" i="18" s="1"/>
  <c r="I42" i="19" s="1"/>
  <c r="L413" i="18"/>
  <c r="L394" i="18"/>
  <c r="M394" i="18" s="1"/>
  <c r="N394" i="18" s="1"/>
  <c r="O394" i="18" s="1"/>
  <c r="I28" i="19" s="1"/>
  <c r="L399" i="18"/>
  <c r="K405" i="18"/>
  <c r="K417" i="18"/>
  <c r="L395" i="18"/>
  <c r="K397" i="18"/>
  <c r="K409" i="18"/>
  <c r="L403" i="18"/>
  <c r="L401" i="18"/>
  <c r="L393" i="18"/>
  <c r="K394" i="18"/>
  <c r="L297" i="18"/>
  <c r="L279" i="18"/>
  <c r="L281" i="18"/>
  <c r="L295" i="18"/>
  <c r="L276" i="18"/>
  <c r="L275" i="18"/>
  <c r="L296" i="18"/>
  <c r="L240" i="18"/>
  <c r="L219" i="18"/>
  <c r="L221" i="18"/>
  <c r="L220" i="18"/>
  <c r="L228" i="18"/>
  <c r="L218" i="18"/>
  <c r="L230" i="18"/>
  <c r="L165" i="18"/>
  <c r="L173" i="18"/>
  <c r="L114" i="18"/>
  <c r="L119" i="18"/>
  <c r="L55" i="18"/>
  <c r="L37" i="18"/>
  <c r="L58" i="18"/>
  <c r="L35" i="18"/>
  <c r="L48" i="18"/>
  <c r="L45" i="18"/>
  <c r="L38" i="18"/>
  <c r="L40" i="18"/>
  <c r="L36" i="18"/>
  <c r="L34" i="18"/>
  <c r="L50" i="18"/>
  <c r="L39" i="18"/>
  <c r="L52" i="18"/>
  <c r="L56" i="18"/>
  <c r="L46" i="18"/>
  <c r="L42" i="18"/>
  <c r="K42" i="18"/>
  <c r="K39" i="18"/>
  <c r="K50" i="18"/>
  <c r="K48" i="18"/>
  <c r="K44" i="18"/>
  <c r="K47" i="18"/>
  <c r="H28" i="19"/>
  <c r="K40" i="18"/>
  <c r="K35" i="18"/>
  <c r="K38" i="18"/>
  <c r="K45" i="18"/>
  <c r="K104" i="18"/>
  <c r="K55" i="18"/>
  <c r="H40" i="19"/>
  <c r="K46" i="18"/>
  <c r="K216" i="18"/>
  <c r="K56" i="18"/>
  <c r="K217" i="18"/>
  <c r="K115" i="18"/>
  <c r="K233" i="18"/>
  <c r="L233" i="18"/>
  <c r="K283" i="18"/>
  <c r="M283" i="18" s="1"/>
  <c r="N283" i="18" s="1"/>
  <c r="O283" i="18" s="1"/>
  <c r="G35" i="19" s="1"/>
  <c r="K225" i="18"/>
  <c r="K218" i="18"/>
  <c r="M218" i="18" s="1"/>
  <c r="N218" i="18" s="1"/>
  <c r="O218" i="18" s="1"/>
  <c r="F29" i="19" s="1"/>
  <c r="K223" i="18"/>
  <c r="M223" i="18" s="1"/>
  <c r="N223" i="18" s="1"/>
  <c r="O223" i="18" s="1"/>
  <c r="F34" i="19" s="1"/>
  <c r="K102" i="18"/>
  <c r="K49" i="18"/>
  <c r="K235" i="18"/>
  <c r="K226" i="18"/>
  <c r="K240" i="18"/>
  <c r="L104" i="18"/>
  <c r="K295" i="18"/>
  <c r="K234" i="18"/>
  <c r="K220" i="18"/>
  <c r="M220" i="18" s="1"/>
  <c r="N220" i="18" s="1"/>
  <c r="O220" i="18" s="1"/>
  <c r="F31" i="19" s="1"/>
  <c r="K51" i="18"/>
  <c r="K219" i="18"/>
  <c r="M219" i="18" s="1"/>
  <c r="N219" i="18" s="1"/>
  <c r="O219" i="18" s="1"/>
  <c r="F30" i="19" s="1"/>
  <c r="K279" i="18"/>
  <c r="M279" i="18" s="1"/>
  <c r="N279" i="18" s="1"/>
  <c r="O279" i="18" s="1"/>
  <c r="G31" i="19" s="1"/>
  <c r="K58" i="18"/>
  <c r="K97" i="18"/>
  <c r="M225" i="18"/>
  <c r="N225" i="18" s="1"/>
  <c r="O225" i="18" s="1"/>
  <c r="F36" i="19" s="1"/>
  <c r="K232" i="18"/>
  <c r="M232" i="18" s="1"/>
  <c r="N232" i="18" s="1"/>
  <c r="O232" i="18" s="1"/>
  <c r="F43" i="19" s="1"/>
  <c r="K177" i="18"/>
  <c r="K296" i="18"/>
  <c r="L156" i="18"/>
  <c r="K156" i="18"/>
  <c r="K36" i="18"/>
  <c r="M36" i="18" s="1"/>
  <c r="N36" i="18" s="1"/>
  <c r="O36" i="18" s="1"/>
  <c r="C29" i="19" s="1"/>
  <c r="L117" i="18"/>
  <c r="K170" i="18"/>
  <c r="M170" i="18" s="1"/>
  <c r="N170" i="18" s="1"/>
  <c r="O170" i="18" s="1"/>
  <c r="E41" i="19" s="1"/>
  <c r="L216" i="18"/>
  <c r="M216" i="18" s="1"/>
  <c r="N216" i="18" s="1"/>
  <c r="O216" i="18" s="1"/>
  <c r="F27" i="19" s="1"/>
  <c r="K34" i="18"/>
  <c r="K281" i="18"/>
  <c r="M281" i="18" s="1"/>
  <c r="N281" i="18" s="1"/>
  <c r="O281" i="18" s="1"/>
  <c r="G33" i="19" s="1"/>
  <c r="L95" i="18"/>
  <c r="K95" i="18"/>
  <c r="K37" i="18"/>
  <c r="K229" i="18"/>
  <c r="K415" i="18"/>
  <c r="H32" i="19"/>
  <c r="L102" i="18"/>
  <c r="L161" i="18"/>
  <c r="L415" i="18"/>
  <c r="L97" i="18"/>
  <c r="L235" i="18"/>
  <c r="L409" i="18"/>
  <c r="K275" i="18"/>
  <c r="K231" i="18"/>
  <c r="K292" i="18"/>
  <c r="K297" i="18"/>
  <c r="K230" i="18"/>
  <c r="L292" i="18"/>
  <c r="K111" i="18"/>
  <c r="L405" i="18"/>
  <c r="K294" i="18"/>
  <c r="M294" i="18" s="1"/>
  <c r="N294" i="18" s="1"/>
  <c r="O294" i="18" s="1"/>
  <c r="G46" i="19" s="1"/>
  <c r="L222" i="18"/>
  <c r="L226" i="18"/>
  <c r="K403" i="18"/>
  <c r="K238" i="18"/>
  <c r="K117" i="18"/>
  <c r="K222" i="18"/>
  <c r="K237" i="18"/>
  <c r="M237" i="18" s="1"/>
  <c r="N237" i="18" s="1"/>
  <c r="O237" i="18" s="1"/>
  <c r="F48" i="19" s="1"/>
  <c r="K276" i="18"/>
  <c r="M276" i="18" s="1"/>
  <c r="N276" i="18" s="1"/>
  <c r="O276" i="18" s="1"/>
  <c r="G28" i="19" s="1"/>
  <c r="K291" i="18"/>
  <c r="K298" i="18"/>
  <c r="M298" i="18" s="1"/>
  <c r="N298" i="18" s="1"/>
  <c r="O298" i="18" s="1"/>
  <c r="G50" i="19" s="1"/>
  <c r="K179" i="18"/>
  <c r="M179" i="18" s="1"/>
  <c r="N179" i="18" s="1"/>
  <c r="O179" i="18" s="1"/>
  <c r="E50" i="19" s="1"/>
  <c r="K239" i="18"/>
  <c r="M239" i="18" s="1"/>
  <c r="N239" i="18" s="1"/>
  <c r="O239" i="18" s="1"/>
  <c r="F50" i="19" s="1"/>
  <c r="K284" i="18"/>
  <c r="M284" i="18" s="1"/>
  <c r="N284" i="18" s="1"/>
  <c r="O284" i="18" s="1"/>
  <c r="G36" i="19" s="1"/>
  <c r="K277" i="18"/>
  <c r="L293" i="18"/>
  <c r="M293" i="18" s="1"/>
  <c r="N293" i="18" s="1"/>
  <c r="O293" i="18" s="1"/>
  <c r="G45" i="19" s="1"/>
  <c r="K411" i="18"/>
  <c r="K288" i="18"/>
  <c r="M288" i="18" s="1"/>
  <c r="N288" i="18" s="1"/>
  <c r="O288" i="18" s="1"/>
  <c r="G40" i="19" s="1"/>
  <c r="K299" i="18"/>
  <c r="K280" i="18"/>
  <c r="M280" i="18" s="1"/>
  <c r="N280" i="18" s="1"/>
  <c r="O280" i="18" s="1"/>
  <c r="G32" i="19" s="1"/>
  <c r="L291" i="18"/>
  <c r="K221" i="18"/>
  <c r="M221" i="18" s="1"/>
  <c r="N221" i="18" s="1"/>
  <c r="O221" i="18" s="1"/>
  <c r="F32" i="19" s="1"/>
  <c r="L236" i="18"/>
  <c r="K401" i="18"/>
  <c r="M401" i="18" s="1"/>
  <c r="H38" i="19"/>
  <c r="L277" i="18"/>
  <c r="K236" i="18"/>
  <c r="K290" i="18"/>
  <c r="M290" i="18" s="1"/>
  <c r="N290" i="18" s="1"/>
  <c r="O290" i="18" s="1"/>
  <c r="G42" i="19" s="1"/>
  <c r="K173" i="18"/>
  <c r="L234" i="18"/>
  <c r="K413" i="18"/>
  <c r="L286" i="18"/>
  <c r="L231" i="18"/>
  <c r="K167" i="18"/>
  <c r="K286" i="18"/>
  <c r="L411" i="18"/>
  <c r="K106" i="18"/>
  <c r="L115" i="18"/>
  <c r="K282" i="18"/>
  <c r="L106" i="18"/>
  <c r="L282" i="18"/>
  <c r="M282" i="18" s="1"/>
  <c r="N282" i="18" s="1"/>
  <c r="O282" i="18" s="1"/>
  <c r="G34" i="19" s="1"/>
  <c r="K165" i="18"/>
  <c r="M165" i="18" s="1"/>
  <c r="N165" i="18" s="1"/>
  <c r="O165" i="18" s="1"/>
  <c r="E36" i="19" s="1"/>
  <c r="K103" i="18"/>
  <c r="M103" i="18" s="1"/>
  <c r="N103" i="18" s="1"/>
  <c r="O103" i="18" s="1"/>
  <c r="D35" i="19" s="1"/>
  <c r="K119" i="18"/>
  <c r="K100" i="18"/>
  <c r="M100" i="18" s="1"/>
  <c r="N100" i="18" s="1"/>
  <c r="O100" i="18" s="1"/>
  <c r="D32" i="19" s="1"/>
  <c r="K118" i="18"/>
  <c r="M118" i="18" s="1"/>
  <c r="N118" i="18" s="1"/>
  <c r="O118" i="18" s="1"/>
  <c r="D50" i="19" s="1"/>
  <c r="K113" i="18"/>
  <c r="L113" i="18"/>
  <c r="K228" i="18"/>
  <c r="M228" i="18" s="1"/>
  <c r="N228" i="18" s="1"/>
  <c r="O228" i="18" s="1"/>
  <c r="F39" i="19" s="1"/>
  <c r="L238" i="18"/>
  <c r="M238" i="18" s="1"/>
  <c r="N238" i="18" s="1"/>
  <c r="O238" i="18" s="1"/>
  <c r="F49" i="19" s="1"/>
  <c r="L217" i="18"/>
  <c r="M217" i="18" s="1"/>
  <c r="N217" i="18" s="1"/>
  <c r="O217" i="18" s="1"/>
  <c r="F28" i="19" s="1"/>
  <c r="L299" i="18"/>
  <c r="K287" i="18"/>
  <c r="M287" i="18" s="1"/>
  <c r="N287" i="18" s="1"/>
  <c r="O287" i="18" s="1"/>
  <c r="G39" i="19" s="1"/>
  <c r="K399" i="18"/>
  <c r="K393" i="18"/>
  <c r="L417" i="18"/>
  <c r="K407" i="18"/>
  <c r="L407" i="18"/>
  <c r="L410" i="18"/>
  <c r="K410" i="18"/>
  <c r="L397" i="18"/>
  <c r="M397" i="18" s="1"/>
  <c r="L400" i="18"/>
  <c r="M400" i="18" s="1"/>
  <c r="L414" i="18"/>
  <c r="M414" i="18" s="1"/>
  <c r="L396" i="18"/>
  <c r="M396" i="18" s="1"/>
  <c r="N396" i="18" s="1"/>
  <c r="O396" i="18" s="1"/>
  <c r="I30" i="19" s="1"/>
  <c r="K395" i="18"/>
  <c r="K398" i="18"/>
  <c r="L398" i="18"/>
  <c r="M398" i="18" s="1"/>
  <c r="K412" i="18"/>
  <c r="L412" i="18"/>
  <c r="M412" i="18" s="1"/>
  <c r="L416" i="18"/>
  <c r="M416" i="18" s="1"/>
  <c r="L285" i="18"/>
  <c r="K285" i="18"/>
  <c r="L289" i="18"/>
  <c r="K278" i="18"/>
  <c r="K289" i="18"/>
  <c r="L278" i="18"/>
  <c r="L229" i="18"/>
  <c r="K224" i="18"/>
  <c r="L224" i="18"/>
  <c r="L174" i="18"/>
  <c r="K174" i="18"/>
  <c r="L101" i="18"/>
  <c r="K101" i="18"/>
  <c r="L168" i="18"/>
  <c r="K168" i="18"/>
  <c r="L167" i="18"/>
  <c r="L96" i="18"/>
  <c r="K96" i="18"/>
  <c r="K158" i="18"/>
  <c r="K176" i="18"/>
  <c r="L109" i="18"/>
  <c r="K109" i="18"/>
  <c r="L166" i="18"/>
  <c r="K166" i="18"/>
  <c r="K175" i="18"/>
  <c r="L175" i="18"/>
  <c r="M175" i="18" s="1"/>
  <c r="N175" i="18" s="1"/>
  <c r="O175" i="18" s="1"/>
  <c r="E46" i="19" s="1"/>
  <c r="L162" i="18"/>
  <c r="K162" i="18"/>
  <c r="L158" i="18"/>
  <c r="M158" i="18" s="1"/>
  <c r="N158" i="18" s="1"/>
  <c r="O158" i="18" s="1"/>
  <c r="E29" i="19" s="1"/>
  <c r="L169" i="18"/>
  <c r="K169" i="18"/>
  <c r="L176" i="18"/>
  <c r="M176" i="18" s="1"/>
  <c r="N176" i="18" s="1"/>
  <c r="O176" i="18" s="1"/>
  <c r="E47" i="19" s="1"/>
  <c r="L110" i="18"/>
  <c r="K110" i="18"/>
  <c r="L105" i="18"/>
  <c r="K105" i="18"/>
  <c r="L177" i="18"/>
  <c r="K180" i="18"/>
  <c r="L159" i="18"/>
  <c r="K159" i="18"/>
  <c r="L98" i="18"/>
  <c r="K98" i="18"/>
  <c r="L178" i="18"/>
  <c r="L112" i="18"/>
  <c r="K112" i="18"/>
  <c r="L180" i="18"/>
  <c r="L160" i="18"/>
  <c r="K160" i="18"/>
  <c r="K178" i="18"/>
  <c r="L163" i="18"/>
  <c r="K163" i="18"/>
  <c r="L171" i="18"/>
  <c r="K171" i="18"/>
  <c r="L116" i="18"/>
  <c r="K116" i="18"/>
  <c r="L107" i="18"/>
  <c r="K107" i="18"/>
  <c r="L172" i="18"/>
  <c r="K172" i="18"/>
  <c r="L108" i="18"/>
  <c r="K108" i="18"/>
  <c r="L164" i="18"/>
  <c r="K164" i="18"/>
  <c r="L43" i="18"/>
  <c r="K43" i="18"/>
  <c r="K161" i="18"/>
  <c r="L99" i="18"/>
  <c r="K99" i="18"/>
  <c r="L57" i="18"/>
  <c r="K57" i="18"/>
  <c r="L157" i="18"/>
  <c r="K157" i="18"/>
  <c r="F22" i="19" l="1"/>
  <c r="E14" i="19"/>
  <c r="G7" i="22"/>
  <c r="I22" i="19"/>
  <c r="I22" i="22"/>
  <c r="I6" i="19"/>
  <c r="I5" i="22"/>
  <c r="I24" i="19"/>
  <c r="I24" i="22"/>
  <c r="I8" i="19"/>
  <c r="I7" i="22"/>
  <c r="I12" i="19"/>
  <c r="I12" i="22"/>
  <c r="I4" i="19"/>
  <c r="I3" i="22"/>
  <c r="I18" i="19"/>
  <c r="I18" i="22"/>
  <c r="I10" i="19"/>
  <c r="I9" i="22"/>
  <c r="I19" i="19"/>
  <c r="I19" i="22"/>
  <c r="I3" i="19"/>
  <c r="I2" i="22"/>
  <c r="I20" i="19"/>
  <c r="I20" i="22"/>
  <c r="I14" i="19"/>
  <c r="I14" i="22"/>
  <c r="I21" i="19"/>
  <c r="I21" i="22"/>
  <c r="I17" i="19"/>
  <c r="I17" i="22"/>
  <c r="H22" i="19"/>
  <c r="H4" i="19"/>
  <c r="H16" i="19"/>
  <c r="G9" i="19"/>
  <c r="G8" i="22"/>
  <c r="G17" i="19"/>
  <c r="G17" i="22"/>
  <c r="H18" i="19"/>
  <c r="H18" i="22"/>
  <c r="H12" i="19"/>
  <c r="H12" i="22"/>
  <c r="H23" i="19"/>
  <c r="H23" i="22"/>
  <c r="G20" i="19"/>
  <c r="G20" i="22"/>
  <c r="H3" i="19"/>
  <c r="H2" i="22"/>
  <c r="G10" i="19"/>
  <c r="G9" i="22"/>
  <c r="H13" i="19"/>
  <c r="H13" i="22"/>
  <c r="H9" i="19"/>
  <c r="H8" i="22"/>
  <c r="H11" i="19"/>
  <c r="H11" i="22"/>
  <c r="H16" i="22"/>
  <c r="G13" i="19"/>
  <c r="G13" i="22"/>
  <c r="F3" i="19"/>
  <c r="F2" i="22"/>
  <c r="F24" i="19"/>
  <c r="F24" i="22"/>
  <c r="F4" i="19"/>
  <c r="F3" i="22"/>
  <c r="F25" i="19"/>
  <c r="F25" i="22"/>
  <c r="F2" i="19"/>
  <c r="F10" i="22"/>
  <c r="F18" i="19"/>
  <c r="F18" i="22"/>
  <c r="E19" i="19"/>
  <c r="E19" i="22"/>
  <c r="D25" i="19"/>
  <c r="D25" i="22"/>
  <c r="D8" i="19"/>
  <c r="D7" i="22"/>
  <c r="M405" i="18"/>
  <c r="N405" i="18" s="1"/>
  <c r="O405" i="18" s="1"/>
  <c r="I39" i="19" s="1"/>
  <c r="M407" i="18"/>
  <c r="N407" i="18" s="1"/>
  <c r="O407" i="18" s="1"/>
  <c r="I41" i="19" s="1"/>
  <c r="M417" i="18"/>
  <c r="N417" i="18" s="1"/>
  <c r="O417" i="18" s="1"/>
  <c r="I51" i="19" s="1"/>
  <c r="M395" i="18"/>
  <c r="N395" i="18" s="1"/>
  <c r="O395" i="18" s="1"/>
  <c r="I29" i="19" s="1"/>
  <c r="M297" i="18"/>
  <c r="N297" i="18" s="1"/>
  <c r="O297" i="18" s="1"/>
  <c r="G49" i="19" s="1"/>
  <c r="M296" i="18"/>
  <c r="N296" i="18" s="1"/>
  <c r="O296" i="18" s="1"/>
  <c r="G48" i="19" s="1"/>
  <c r="M295" i="18"/>
  <c r="N295" i="18" s="1"/>
  <c r="O295" i="18" s="1"/>
  <c r="G47" i="19" s="1"/>
  <c r="M226" i="18"/>
  <c r="N226" i="18" s="1"/>
  <c r="O226" i="18" s="1"/>
  <c r="F37" i="19" s="1"/>
  <c r="M240" i="18"/>
  <c r="N240" i="18" s="1"/>
  <c r="O240" i="18" s="1"/>
  <c r="F51" i="19" s="1"/>
  <c r="M167" i="18"/>
  <c r="N167" i="18" s="1"/>
  <c r="O167" i="18" s="1"/>
  <c r="E38" i="19" s="1"/>
  <c r="M44" i="18"/>
  <c r="N44" i="18" s="1"/>
  <c r="O44" i="18" s="1"/>
  <c r="C37" i="19" s="1"/>
  <c r="M51" i="18"/>
  <c r="N51" i="18" s="1"/>
  <c r="O51" i="18" s="1"/>
  <c r="C44" i="19" s="1"/>
  <c r="M49" i="18"/>
  <c r="N49" i="18" s="1"/>
  <c r="O49" i="18" s="1"/>
  <c r="C42" i="19" s="1"/>
  <c r="M114" i="18"/>
  <c r="N114" i="18" s="1"/>
  <c r="O114" i="18" s="1"/>
  <c r="D46" i="19" s="1"/>
  <c r="M169" i="18"/>
  <c r="N169" i="18" s="1"/>
  <c r="O169" i="18" s="1"/>
  <c r="E40" i="19" s="1"/>
  <c r="M177" i="18"/>
  <c r="N177" i="18" s="1"/>
  <c r="O177" i="18" s="1"/>
  <c r="E48" i="19" s="1"/>
  <c r="M236" i="18"/>
  <c r="N236" i="18" s="1"/>
  <c r="O236" i="18" s="1"/>
  <c r="F47" i="19" s="1"/>
  <c r="M299" i="18"/>
  <c r="N299" i="18" s="1"/>
  <c r="O299" i="18" s="1"/>
  <c r="G51" i="19" s="1"/>
  <c r="M230" i="18"/>
  <c r="N230" i="18" s="1"/>
  <c r="O230" i="18" s="1"/>
  <c r="F41" i="19" s="1"/>
  <c r="M157" i="18"/>
  <c r="N157" i="18" s="1"/>
  <c r="O157" i="18" s="1"/>
  <c r="E28" i="19" s="1"/>
  <c r="M159" i="18"/>
  <c r="N159" i="18" s="1"/>
  <c r="O159" i="18" s="1"/>
  <c r="E30" i="19" s="1"/>
  <c r="M111" i="18"/>
  <c r="N111" i="18" s="1"/>
  <c r="O111" i="18" s="1"/>
  <c r="D43" i="19" s="1"/>
  <c r="M106" i="18"/>
  <c r="N106" i="18" s="1"/>
  <c r="O106" i="18" s="1"/>
  <c r="D38" i="19" s="1"/>
  <c r="M97" i="18"/>
  <c r="N97" i="18" s="1"/>
  <c r="O97" i="18" s="1"/>
  <c r="D29" i="19" s="1"/>
  <c r="M54" i="18"/>
  <c r="N54" i="18" s="1"/>
  <c r="O54" i="18" s="1"/>
  <c r="C47" i="19" s="1"/>
  <c r="M40" i="18"/>
  <c r="N40" i="18" s="1"/>
  <c r="O40" i="18" s="1"/>
  <c r="C33" i="19" s="1"/>
  <c r="M53" i="18"/>
  <c r="N53" i="18" s="1"/>
  <c r="O53" i="18" s="1"/>
  <c r="C46" i="19" s="1"/>
  <c r="M45" i="18"/>
  <c r="N45" i="18" s="1"/>
  <c r="O45" i="18" s="1"/>
  <c r="C38" i="19" s="1"/>
  <c r="M41" i="18"/>
  <c r="N41" i="18" s="1"/>
  <c r="O41" i="18" s="1"/>
  <c r="C34" i="19" s="1"/>
  <c r="M35" i="18"/>
  <c r="N35" i="18" s="1"/>
  <c r="O35" i="18" s="1"/>
  <c r="C28" i="19" s="1"/>
  <c r="M46" i="18"/>
  <c r="N46" i="18" s="1"/>
  <c r="O46" i="18" s="1"/>
  <c r="C39" i="19" s="1"/>
  <c r="M34" i="18"/>
  <c r="N34" i="18" s="1"/>
  <c r="O34" i="18" s="1"/>
  <c r="C27" i="19" s="1"/>
  <c r="M47" i="18"/>
  <c r="N47" i="18" s="1"/>
  <c r="O47" i="18" s="1"/>
  <c r="C40" i="19" s="1"/>
  <c r="M39" i="18"/>
  <c r="N39" i="18" s="1"/>
  <c r="O39" i="18" s="1"/>
  <c r="C32" i="19" s="1"/>
  <c r="M52" i="18"/>
  <c r="N52" i="18" s="1"/>
  <c r="O52" i="18" s="1"/>
  <c r="C45" i="19" s="1"/>
  <c r="M55" i="18"/>
  <c r="N55" i="18" s="1"/>
  <c r="O55" i="18" s="1"/>
  <c r="C48" i="19" s="1"/>
  <c r="M50" i="18"/>
  <c r="N50" i="18" s="1"/>
  <c r="O50" i="18" s="1"/>
  <c r="C43" i="19" s="1"/>
  <c r="M48" i="18"/>
  <c r="N48" i="18" s="1"/>
  <c r="O48" i="18" s="1"/>
  <c r="C41" i="19" s="1"/>
  <c r="M58" i="18"/>
  <c r="N58" i="18" s="1"/>
  <c r="O58" i="18" s="1"/>
  <c r="C51" i="19" s="1"/>
  <c r="M403" i="18"/>
  <c r="N403" i="18" s="1"/>
  <c r="O403" i="18" s="1"/>
  <c r="I37" i="19" s="1"/>
  <c r="M413" i="18"/>
  <c r="N413" i="18" s="1"/>
  <c r="O413" i="18" s="1"/>
  <c r="I47" i="19" s="1"/>
  <c r="H34" i="19"/>
  <c r="H37" i="19"/>
  <c r="H39" i="19"/>
  <c r="H49" i="19"/>
  <c r="H29" i="19"/>
  <c r="H45" i="19"/>
  <c r="M235" i="18"/>
  <c r="N235" i="18" s="1"/>
  <c r="O235" i="18" s="1"/>
  <c r="F46" i="19" s="1"/>
  <c r="M234" i="18"/>
  <c r="N234" i="18" s="1"/>
  <c r="O234" i="18" s="1"/>
  <c r="F45" i="19" s="1"/>
  <c r="M233" i="18"/>
  <c r="N233" i="18" s="1"/>
  <c r="O233" i="18" s="1"/>
  <c r="F44" i="19" s="1"/>
  <c r="H47" i="19"/>
  <c r="H46" i="19"/>
  <c r="H27" i="19"/>
  <c r="H44" i="19"/>
  <c r="M163" i="18"/>
  <c r="N163" i="18" s="1"/>
  <c r="O163" i="18" s="1"/>
  <c r="E34" i="19" s="1"/>
  <c r="M180" i="18"/>
  <c r="N180" i="18" s="1"/>
  <c r="O180" i="18" s="1"/>
  <c r="E51" i="19" s="1"/>
  <c r="M162" i="18"/>
  <c r="N162" i="18" s="1"/>
  <c r="O162" i="18" s="1"/>
  <c r="E33" i="19" s="1"/>
  <c r="M156" i="18"/>
  <c r="N156" i="18" s="1"/>
  <c r="O156" i="18" s="1"/>
  <c r="E27" i="19" s="1"/>
  <c r="M173" i="18"/>
  <c r="N173" i="18" s="1"/>
  <c r="O173" i="18" s="1"/>
  <c r="E44" i="19" s="1"/>
  <c r="M161" i="18"/>
  <c r="N161" i="18" s="1"/>
  <c r="O161" i="18" s="1"/>
  <c r="E32" i="19" s="1"/>
  <c r="M105" i="18"/>
  <c r="N105" i="18" s="1"/>
  <c r="O105" i="18" s="1"/>
  <c r="D37" i="19" s="1"/>
  <c r="M96" i="18"/>
  <c r="N96" i="18" s="1"/>
  <c r="O96" i="18" s="1"/>
  <c r="D28" i="19" s="1"/>
  <c r="M102" i="18"/>
  <c r="N102" i="18" s="1"/>
  <c r="O102" i="18" s="1"/>
  <c r="D34" i="19" s="1"/>
  <c r="M42" i="18"/>
  <c r="N42" i="18" s="1"/>
  <c r="O42" i="18" s="1"/>
  <c r="C35" i="19" s="1"/>
  <c r="M37" i="18"/>
  <c r="N37" i="18" s="1"/>
  <c r="O37" i="18" s="1"/>
  <c r="C30" i="19" s="1"/>
  <c r="M415" i="18"/>
  <c r="N415" i="18" s="1"/>
  <c r="O415" i="18" s="1"/>
  <c r="I49" i="19" s="1"/>
  <c r="M411" i="18"/>
  <c r="N411" i="18" s="1"/>
  <c r="O411" i="18" s="1"/>
  <c r="I45" i="19" s="1"/>
  <c r="M399" i="18"/>
  <c r="N399" i="18" s="1"/>
  <c r="O399" i="18" s="1"/>
  <c r="I33" i="19" s="1"/>
  <c r="M393" i="18"/>
  <c r="N393" i="18" s="1"/>
  <c r="O393" i="18" s="1"/>
  <c r="I27" i="19" s="1"/>
  <c r="N412" i="18"/>
  <c r="O412" i="18" s="1"/>
  <c r="I46" i="19" s="1"/>
  <c r="N401" i="18"/>
  <c r="O401" i="18" s="1"/>
  <c r="I35" i="19" s="1"/>
  <c r="M409" i="18"/>
  <c r="N409" i="18" s="1"/>
  <c r="O409" i="18" s="1"/>
  <c r="I43" i="19" s="1"/>
  <c r="M410" i="18"/>
  <c r="N410" i="18" s="1"/>
  <c r="O410" i="18" s="1"/>
  <c r="I44" i="19" s="1"/>
  <c r="N414" i="18"/>
  <c r="O414" i="18" s="1"/>
  <c r="I48" i="19" s="1"/>
  <c r="N397" i="18"/>
  <c r="O397" i="18" s="1"/>
  <c r="I31" i="19" s="1"/>
  <c r="N402" i="18"/>
  <c r="O402" i="18" s="1"/>
  <c r="I36" i="19" s="1"/>
  <c r="N416" i="18"/>
  <c r="O416" i="18" s="1"/>
  <c r="I50" i="19" s="1"/>
  <c r="N400" i="18"/>
  <c r="O400" i="18" s="1"/>
  <c r="I34" i="19" s="1"/>
  <c r="N398" i="18"/>
  <c r="O398" i="18" s="1"/>
  <c r="I32" i="19" s="1"/>
  <c r="M107" i="18"/>
  <c r="N107" i="18" s="1"/>
  <c r="O107" i="18" s="1"/>
  <c r="D39" i="19" s="1"/>
  <c r="M98" i="18"/>
  <c r="N98" i="18" s="1"/>
  <c r="O98" i="18" s="1"/>
  <c r="D30" i="19" s="1"/>
  <c r="M109" i="18"/>
  <c r="N109" i="18" s="1"/>
  <c r="O109" i="18" s="1"/>
  <c r="D41" i="19" s="1"/>
  <c r="M112" i="18"/>
  <c r="N112" i="18" s="1"/>
  <c r="O112" i="18" s="1"/>
  <c r="D44" i="19" s="1"/>
  <c r="M119" i="18"/>
  <c r="N119" i="18" s="1"/>
  <c r="O119" i="18" s="1"/>
  <c r="D51" i="19" s="1"/>
  <c r="M101" i="18"/>
  <c r="N101" i="18" s="1"/>
  <c r="O101" i="18" s="1"/>
  <c r="D33" i="19" s="1"/>
  <c r="H31" i="19"/>
  <c r="H30" i="19"/>
  <c r="H42" i="19"/>
  <c r="H33" i="19"/>
  <c r="H35" i="19"/>
  <c r="H50" i="19"/>
  <c r="H43" i="19"/>
  <c r="H48" i="19"/>
  <c r="H51" i="19"/>
  <c r="M278" i="18"/>
  <c r="N278" i="18" s="1"/>
  <c r="O278" i="18" s="1"/>
  <c r="G30" i="19" s="1"/>
  <c r="M286" i="18"/>
  <c r="N286" i="18" s="1"/>
  <c r="O286" i="18" s="1"/>
  <c r="G38" i="19" s="1"/>
  <c r="M285" i="18"/>
  <c r="N285" i="18" s="1"/>
  <c r="O285" i="18" s="1"/>
  <c r="G37" i="19" s="1"/>
  <c r="M291" i="18"/>
  <c r="N291" i="18" s="1"/>
  <c r="O291" i="18" s="1"/>
  <c r="G43" i="19" s="1"/>
  <c r="M275" i="18"/>
  <c r="N275" i="18" s="1"/>
  <c r="O275" i="18" s="1"/>
  <c r="G27" i="19" s="1"/>
  <c r="M292" i="18"/>
  <c r="N292" i="18" s="1"/>
  <c r="O292" i="18" s="1"/>
  <c r="G44" i="19" s="1"/>
  <c r="M289" i="18"/>
  <c r="N289" i="18" s="1"/>
  <c r="O289" i="18" s="1"/>
  <c r="G41" i="19" s="1"/>
  <c r="M277" i="18"/>
  <c r="N277" i="18" s="1"/>
  <c r="O277" i="18" s="1"/>
  <c r="G29" i="19" s="1"/>
  <c r="M222" i="18"/>
  <c r="N222" i="18" s="1"/>
  <c r="O222" i="18" s="1"/>
  <c r="F33" i="19" s="1"/>
  <c r="M224" i="18"/>
  <c r="N224" i="18" s="1"/>
  <c r="O224" i="18" s="1"/>
  <c r="F35" i="19" s="1"/>
  <c r="M229" i="18"/>
  <c r="N229" i="18" s="1"/>
  <c r="O229" i="18" s="1"/>
  <c r="F40" i="19" s="1"/>
  <c r="M231" i="18"/>
  <c r="N231" i="18" s="1"/>
  <c r="O231" i="18" s="1"/>
  <c r="F42" i="19" s="1"/>
  <c r="M168" i="18"/>
  <c r="N168" i="18" s="1"/>
  <c r="O168" i="18" s="1"/>
  <c r="E39" i="19" s="1"/>
  <c r="M160" i="18"/>
  <c r="N160" i="18" s="1"/>
  <c r="O160" i="18" s="1"/>
  <c r="E31" i="19" s="1"/>
  <c r="M174" i="18"/>
  <c r="N174" i="18" s="1"/>
  <c r="O174" i="18" s="1"/>
  <c r="E45" i="19" s="1"/>
  <c r="M164" i="18"/>
  <c r="N164" i="18" s="1"/>
  <c r="O164" i="18" s="1"/>
  <c r="E35" i="19" s="1"/>
  <c r="M166" i="18"/>
  <c r="N166" i="18" s="1"/>
  <c r="O166" i="18" s="1"/>
  <c r="E37" i="19" s="1"/>
  <c r="M172" i="18"/>
  <c r="N172" i="18" s="1"/>
  <c r="O172" i="18" s="1"/>
  <c r="E43" i="19" s="1"/>
  <c r="M171" i="18"/>
  <c r="N171" i="18" s="1"/>
  <c r="O171" i="18" s="1"/>
  <c r="E42" i="19" s="1"/>
  <c r="M178" i="18"/>
  <c r="N178" i="18" s="1"/>
  <c r="O178" i="18" s="1"/>
  <c r="E49" i="19" s="1"/>
  <c r="M95" i="18"/>
  <c r="N95" i="18" s="1"/>
  <c r="O95" i="18" s="1"/>
  <c r="D27" i="19" s="1"/>
  <c r="M104" i="18"/>
  <c r="N104" i="18" s="1"/>
  <c r="O104" i="18" s="1"/>
  <c r="D36" i="19" s="1"/>
  <c r="M113" i="18"/>
  <c r="N113" i="18" s="1"/>
  <c r="O113" i="18" s="1"/>
  <c r="D45" i="19" s="1"/>
  <c r="M117" i="18"/>
  <c r="N117" i="18" s="1"/>
  <c r="O117" i="18" s="1"/>
  <c r="D49" i="19" s="1"/>
  <c r="M108" i="18"/>
  <c r="N108" i="18" s="1"/>
  <c r="O108" i="18" s="1"/>
  <c r="D40" i="19" s="1"/>
  <c r="M115" i="18"/>
  <c r="N115" i="18" s="1"/>
  <c r="O115" i="18" s="1"/>
  <c r="D47" i="19" s="1"/>
  <c r="M99" i="18"/>
  <c r="N99" i="18" s="1"/>
  <c r="O99" i="18" s="1"/>
  <c r="D31" i="19" s="1"/>
  <c r="M110" i="18"/>
  <c r="N110" i="18" s="1"/>
  <c r="O110" i="18" s="1"/>
  <c r="D42" i="19" s="1"/>
  <c r="M116" i="18"/>
  <c r="N116" i="18" s="1"/>
  <c r="O116" i="18" s="1"/>
  <c r="D48" i="19" s="1"/>
  <c r="M56" i="18"/>
  <c r="N56" i="18" s="1"/>
  <c r="O56" i="18" s="1"/>
  <c r="C49" i="19" s="1"/>
  <c r="M38" i="18"/>
  <c r="N38" i="18" s="1"/>
  <c r="O38" i="18" s="1"/>
  <c r="C31" i="19" s="1"/>
  <c r="M43" i="18"/>
  <c r="N43" i="18" s="1"/>
  <c r="O43" i="18" s="1"/>
  <c r="C36" i="19" s="1"/>
  <c r="M57" i="18"/>
  <c r="N57" i="18" s="1"/>
  <c r="O57" i="18" s="1"/>
  <c r="C50" i="19" s="1"/>
  <c r="F22" i="22" l="1"/>
  <c r="E14" i="22"/>
  <c r="G8" i="19"/>
  <c r="H3" i="22"/>
  <c r="I25" i="19"/>
  <c r="I25" i="22"/>
  <c r="I13" i="19"/>
  <c r="I13" i="22"/>
  <c r="I9" i="19"/>
  <c r="I8" i="22"/>
  <c r="I2" i="19"/>
  <c r="I10" i="22"/>
  <c r="I5" i="19"/>
  <c r="I4" i="22"/>
  <c r="I16" i="19"/>
  <c r="I16" i="22"/>
  <c r="I7" i="19"/>
  <c r="I6" i="22"/>
  <c r="I26" i="19"/>
  <c r="I26" i="22"/>
  <c r="I11" i="19"/>
  <c r="I11" i="22"/>
  <c r="I15" i="19"/>
  <c r="I15" i="22"/>
  <c r="I23" i="19"/>
  <c r="I23" i="22"/>
  <c r="H22" i="22"/>
  <c r="H14" i="19"/>
  <c r="H14" i="22"/>
  <c r="H2" i="19"/>
  <c r="H10" i="22"/>
  <c r="H26" i="19"/>
  <c r="H26" i="22"/>
  <c r="G25" i="19"/>
  <c r="G25" i="22"/>
  <c r="G21" i="19"/>
  <c r="G21" i="22"/>
  <c r="G5" i="19"/>
  <c r="G4" i="22"/>
  <c r="H5" i="19"/>
  <c r="H4" i="22"/>
  <c r="H6" i="19"/>
  <c r="H5" i="22"/>
  <c r="G4" i="19"/>
  <c r="G3" i="22"/>
  <c r="H19" i="19"/>
  <c r="H19" i="22"/>
  <c r="G7" i="19"/>
  <c r="G6" i="22"/>
  <c r="G11" i="19"/>
  <c r="G11" i="22"/>
  <c r="H15" i="19"/>
  <c r="H15" i="22"/>
  <c r="G15" i="19"/>
  <c r="G15" i="22"/>
  <c r="H21" i="19"/>
  <c r="H21" i="22"/>
  <c r="H20" i="19"/>
  <c r="H20" i="22"/>
  <c r="G16" i="19"/>
  <c r="G16" i="22"/>
  <c r="G26" i="19"/>
  <c r="G26" i="22"/>
  <c r="G19" i="19"/>
  <c r="G19" i="22"/>
  <c r="G24" i="19"/>
  <c r="G24" i="22"/>
  <c r="G2" i="19"/>
  <c r="G10" i="22"/>
  <c r="H24" i="19"/>
  <c r="H24" i="22"/>
  <c r="G23" i="19"/>
  <c r="G23" i="22"/>
  <c r="G14" i="19"/>
  <c r="G14" i="22"/>
  <c r="G3" i="19"/>
  <c r="G2" i="22"/>
  <c r="H7" i="19"/>
  <c r="H6" i="22"/>
  <c r="H10" i="19"/>
  <c r="H9" i="22"/>
  <c r="H17" i="19"/>
  <c r="H17" i="22"/>
  <c r="G12" i="19"/>
  <c r="G12" i="22"/>
  <c r="H8" i="19"/>
  <c r="H7" i="22"/>
  <c r="G18" i="19"/>
  <c r="G18" i="22"/>
  <c r="H25" i="19"/>
  <c r="H25" i="22"/>
  <c r="G6" i="19"/>
  <c r="G5" i="22"/>
  <c r="G22" i="19"/>
  <c r="G22" i="22"/>
  <c r="F9" i="19"/>
  <c r="F8" i="22"/>
  <c r="F7" i="19"/>
  <c r="F6" i="22"/>
  <c r="F5" i="19"/>
  <c r="F4" i="22"/>
  <c r="F11" i="19"/>
  <c r="F11" i="22"/>
  <c r="F13" i="19"/>
  <c r="F13" i="22"/>
  <c r="F17" i="19"/>
  <c r="F17" i="22"/>
  <c r="F15" i="19"/>
  <c r="F15" i="22"/>
  <c r="F16" i="19"/>
  <c r="F16" i="22"/>
  <c r="F8" i="19"/>
  <c r="F7" i="22"/>
  <c r="F19" i="19"/>
  <c r="F19" i="22"/>
  <c r="F23" i="19"/>
  <c r="F23" i="22"/>
  <c r="F6" i="19"/>
  <c r="F5" i="22"/>
  <c r="F10" i="19"/>
  <c r="F9" i="22"/>
  <c r="F12" i="19"/>
  <c r="F12" i="22"/>
  <c r="F20" i="19"/>
  <c r="F20" i="22"/>
  <c r="F21" i="19"/>
  <c r="F21" i="22"/>
  <c r="F14" i="19"/>
  <c r="F14" i="22"/>
  <c r="F26" i="19"/>
  <c r="F26" i="22"/>
  <c r="E13" i="19"/>
  <c r="E13" i="22"/>
  <c r="E3" i="19"/>
  <c r="E2" i="22"/>
  <c r="E10" i="19"/>
  <c r="E9" i="22"/>
  <c r="E22" i="19"/>
  <c r="E22" i="22"/>
  <c r="E23" i="19"/>
  <c r="E23" i="22"/>
  <c r="E21" i="19"/>
  <c r="E21" i="22"/>
  <c r="E11" i="19"/>
  <c r="E11" i="22"/>
  <c r="E24" i="19"/>
  <c r="E24" i="22"/>
  <c r="E12" i="19"/>
  <c r="E12" i="22"/>
  <c r="E5" i="19"/>
  <c r="E4" i="22"/>
  <c r="E16" i="19"/>
  <c r="E16" i="22"/>
  <c r="E8" i="19"/>
  <c r="E7" i="22"/>
  <c r="E26" i="19"/>
  <c r="E26" i="22"/>
  <c r="E18" i="19"/>
  <c r="E18" i="22"/>
  <c r="E4" i="19"/>
  <c r="E3" i="22"/>
  <c r="E7" i="19"/>
  <c r="E6" i="22"/>
  <c r="E17" i="19"/>
  <c r="E17" i="22"/>
  <c r="E2" i="19"/>
  <c r="E10" i="22"/>
  <c r="E6" i="19"/>
  <c r="E5" i="22"/>
  <c r="E25" i="19"/>
  <c r="E25" i="22"/>
  <c r="E20" i="19"/>
  <c r="E20" i="22"/>
  <c r="E15" i="19"/>
  <c r="E15" i="22"/>
  <c r="E9" i="19"/>
  <c r="E8" i="22"/>
  <c r="D6" i="19"/>
  <c r="D5" i="22"/>
  <c r="D4" i="19"/>
  <c r="D3" i="22"/>
  <c r="D7" i="19"/>
  <c r="D6" i="22"/>
  <c r="D26" i="19"/>
  <c r="D26" i="22"/>
  <c r="D11" i="19"/>
  <c r="D11" i="22"/>
  <c r="D14" i="19"/>
  <c r="D14" i="22"/>
  <c r="D3" i="19"/>
  <c r="D2" i="22"/>
  <c r="D17" i="19"/>
  <c r="D17" i="22"/>
  <c r="D5" i="19"/>
  <c r="D4" i="22"/>
  <c r="D12" i="19"/>
  <c r="D12" i="22"/>
  <c r="D13" i="19"/>
  <c r="D13" i="22"/>
  <c r="D2" i="19"/>
  <c r="D10" i="22"/>
  <c r="D15" i="19"/>
  <c r="D15" i="22"/>
  <c r="D9" i="19"/>
  <c r="D8" i="22"/>
  <c r="D21" i="19"/>
  <c r="D21" i="22"/>
  <c r="D24" i="19"/>
  <c r="D24" i="22"/>
  <c r="D10" i="19"/>
  <c r="D9" i="22"/>
  <c r="D19" i="19"/>
  <c r="D19" i="22"/>
  <c r="D20" i="19"/>
  <c r="D20" i="22"/>
  <c r="D23" i="19"/>
  <c r="D23" i="22"/>
  <c r="D18" i="19"/>
  <c r="D18" i="22"/>
  <c r="D22" i="19"/>
  <c r="D22" i="22"/>
  <c r="D16" i="19"/>
  <c r="D16" i="22"/>
  <c r="C20" i="19"/>
  <c r="C20" i="22"/>
  <c r="C11" i="19"/>
  <c r="C11" i="22"/>
  <c r="C8" i="19"/>
  <c r="C7" i="22"/>
  <c r="C4" i="19"/>
  <c r="C3" i="22"/>
  <c r="C17" i="19"/>
  <c r="C17" i="22"/>
  <c r="C25" i="19"/>
  <c r="C25" i="22"/>
  <c r="C13" i="19"/>
  <c r="C13" i="22"/>
  <c r="C9" i="19"/>
  <c r="C8" i="22"/>
  <c r="C22" i="19"/>
  <c r="C22" i="22"/>
  <c r="C23" i="19"/>
  <c r="C23" i="22"/>
  <c r="C10" i="19"/>
  <c r="C9" i="22"/>
  <c r="C3" i="19"/>
  <c r="C2" i="22"/>
  <c r="C26" i="19"/>
  <c r="C26" i="22"/>
  <c r="C19" i="19"/>
  <c r="C19" i="22"/>
  <c r="C2" i="19"/>
  <c r="C10" i="22"/>
  <c r="C14" i="19"/>
  <c r="C14" i="22"/>
  <c r="C21" i="19"/>
  <c r="C21" i="22"/>
  <c r="C5" i="19"/>
  <c r="C4" i="22"/>
  <c r="C18" i="19"/>
  <c r="C18" i="22"/>
  <c r="C12" i="19"/>
  <c r="C12" i="22"/>
  <c r="C16" i="19"/>
  <c r="C16" i="22"/>
  <c r="C6" i="19"/>
  <c r="C5" i="22"/>
  <c r="C7" i="19"/>
  <c r="C6" i="22"/>
  <c r="C24" i="19"/>
  <c r="C24" i="22"/>
  <c r="C15" i="19"/>
  <c r="C15" i="22"/>
</calcChain>
</file>

<file path=xl/sharedStrings.xml><?xml version="1.0" encoding="utf-8"?>
<sst xmlns="http://schemas.openxmlformats.org/spreadsheetml/2006/main" count="550" uniqueCount="56">
  <si>
    <t>chart tag</t>
  </si>
  <si>
    <t>Chart Title</t>
  </si>
  <si>
    <t>Step 1: Cut and paste paste XY and label data into coloured spec area</t>
  </si>
  <si>
    <t>Chart Subtitle</t>
  </si>
  <si>
    <t>Step 2: Select (highlight) target XY values</t>
  </si>
  <si>
    <t>Step 3: Select corresponding labels as prompted by the input box</t>
  </si>
  <si>
    <t>Scatter plot</t>
  </si>
  <si>
    <t>Step 4: Manually adjust labels</t>
  </si>
  <si>
    <t>Axis Labels:</t>
  </si>
  <si>
    <t xml:space="preserve">Note: Do NOT cut, delete or insert rows. You can add or remove rows by copying-paste or clearing rows, respectively. </t>
  </si>
  <si>
    <t xml:space="preserve">x-axis: </t>
  </si>
  <si>
    <t>Attention</t>
  </si>
  <si>
    <t xml:space="preserve">Note: If you will be using the dashboard function in this file, make sure attributes are all the same and in a consistent order for all matrices </t>
  </si>
  <si>
    <t xml:space="preserve">y-axis: </t>
  </si>
  <si>
    <t>Urgency</t>
  </si>
  <si>
    <t>Quadrant Labels:</t>
  </si>
  <si>
    <t>upper left:</t>
  </si>
  <si>
    <t>N/A</t>
  </si>
  <si>
    <t>upper right:</t>
  </si>
  <si>
    <t>lower left:</t>
  </si>
  <si>
    <t>lower right:</t>
  </si>
  <si>
    <t>X</t>
  </si>
  <si>
    <t>Y</t>
  </si>
  <si>
    <t>X intersection</t>
  </si>
  <si>
    <t>Y intersection</t>
  </si>
  <si>
    <t>Quadrant colour</t>
  </si>
  <si>
    <t>Intersection</t>
  </si>
  <si>
    <t>Min. edge</t>
  </si>
  <si>
    <t>max. edge</t>
  </si>
  <si>
    <t>Matrix 1</t>
  </si>
  <si>
    <t>PLEASE ENTER DATA ONLY IN WHITE SPACE</t>
  </si>
  <si>
    <t>MEAN</t>
  </si>
  <si>
    <t>RANGE</t>
  </si>
  <si>
    <t>MINIMUM</t>
  </si>
  <si>
    <t>Δ</t>
  </si>
  <si>
    <t>MAXIMUM</t>
  </si>
  <si>
    <t>CALCULATION SPACE: PLEASE DO NOT EDIT</t>
  </si>
  <si>
    <t>ASSEMBLY COLUMNS</t>
  </si>
  <si>
    <t>FINAL QUADRANT</t>
  </si>
  <si>
    <t>LABEL</t>
  </si>
  <si>
    <t>X (performance)</t>
  </si>
  <si>
    <t>Y (importance)</t>
  </si>
  <si>
    <t>MEANS</t>
  </si>
  <si>
    <t>QUAD</t>
  </si>
  <si>
    <t>TIE TESTING</t>
  </si>
  <si>
    <t>Result</t>
  </si>
  <si>
    <t>PINK LINE INTERSECTION X:</t>
  </si>
  <si>
    <t>Matrix 2</t>
  </si>
  <si>
    <t>Matrix 3</t>
  </si>
  <si>
    <t>Matrix 4</t>
  </si>
  <si>
    <t>Matrix 5</t>
  </si>
  <si>
    <t>Matrix 6</t>
  </si>
  <si>
    <t>Matrix 7</t>
  </si>
  <si>
    <t>Dot colour</t>
  </si>
  <si>
    <t>Dot Size</t>
  </si>
  <si>
    <t>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</si>
</sst>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34" x14ac:knownFonts="1">
    <font>
      <sz val="11"/>
      <color theme="1"/>
      <name val="Segoe UI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1"/>
      <color theme="1"/>
      <name val="Calibri"/>
      <family val="2"/>
    </font>
    <font>
      <b/>
      <i/>
      <sz val="10"/>
      <name val="Calibri"/>
      <family val="2"/>
    </font>
    <font>
      <sz val="10"/>
      <color theme="1"/>
      <name val="Calibri"/>
      <family val="2"/>
    </font>
    <font>
      <i/>
      <sz val="10"/>
      <name val="Calibri"/>
      <family val="2"/>
    </font>
    <font>
      <sz val="10"/>
      <color rgb="FF000000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b/>
      <sz val="14"/>
      <color theme="1"/>
      <name val="Calibri"/>
      <family val="2"/>
    </font>
    <font>
      <sz val="11"/>
      <color theme="1"/>
      <name val="Segoe UI"/>
      <family val="2"/>
      <scheme val="minor"/>
    </font>
    <font>
      <b/>
      <sz val="10"/>
      <color theme="1"/>
      <name val="Calibri"/>
      <family val="2"/>
    </font>
    <font>
      <sz val="10"/>
      <name val="Arial"/>
      <family val="2"/>
    </font>
    <font>
      <b/>
      <sz val="16"/>
      <color rgb="FFFF0000"/>
      <name val="Segoe UI"/>
      <family val="2"/>
      <scheme val="minor"/>
    </font>
    <font>
      <sz val="8"/>
      <name val="Segoe UI"/>
      <family val="2"/>
      <scheme val="minor"/>
    </font>
    <font>
      <sz val="10"/>
      <name val="Segoe UI"/>
      <family val="2"/>
      <scheme val="minor"/>
    </font>
    <font>
      <b/>
      <sz val="10"/>
      <name val="Segoe UI"/>
      <family val="2"/>
      <scheme val="minor"/>
    </font>
    <font>
      <b/>
      <sz val="10"/>
      <color theme="0"/>
      <name val="Segoe UI"/>
      <family val="2"/>
      <scheme val="minor"/>
    </font>
    <font>
      <b/>
      <sz val="10"/>
      <color theme="2" tint="-0.499984740745262"/>
      <name val="Segoe UI"/>
      <family val="2"/>
      <scheme val="minor"/>
    </font>
    <font>
      <b/>
      <sz val="10"/>
      <color theme="1"/>
      <name val="Segoe UI"/>
      <family val="2"/>
      <scheme val="minor"/>
    </font>
    <font>
      <sz val="10"/>
      <color theme="2" tint="-0.499984740745262"/>
      <name val="Segoe UI"/>
      <family val="2"/>
      <scheme val="minor"/>
    </font>
    <font>
      <b/>
      <sz val="10"/>
      <color rgb="FF0000FF"/>
      <name val="Segoe UI"/>
      <family val="2"/>
      <scheme val="minor"/>
    </font>
    <font>
      <sz val="10"/>
      <color rgb="FFFF0000"/>
      <name val="Segoe UI"/>
      <family val="2"/>
      <scheme val="minor"/>
    </font>
    <font>
      <sz val="9"/>
      <name val="Segoe UI"/>
      <family val="2"/>
      <scheme val="minor"/>
    </font>
    <font>
      <sz val="10"/>
      <color theme="1"/>
      <name val="Segoe UI"/>
      <family val="2"/>
      <scheme val="minor"/>
    </font>
    <font>
      <b/>
      <sz val="14"/>
      <color theme="1"/>
      <name val="Segoe UI"/>
      <family val="2"/>
      <scheme val="minor"/>
    </font>
    <font>
      <i/>
      <sz val="10"/>
      <name val="Segoe UI"/>
      <family val="2"/>
      <scheme val="minor"/>
    </font>
    <font>
      <b/>
      <i/>
      <sz val="10"/>
      <name val="Segoe UI"/>
      <family val="2"/>
      <scheme val="minor"/>
    </font>
    <font>
      <sz val="10"/>
      <color rgb="FF000000"/>
      <name val="Segoe UI"/>
      <family val="2"/>
      <scheme val="minor"/>
    </font>
    <font>
      <sz val="10"/>
      <color indexed="8"/>
      <name val="Segoe UI"/>
      <family val="2"/>
      <scheme val="minor"/>
    </font>
    <font>
      <b/>
      <sz val="10"/>
      <color indexed="8"/>
      <name val="Segoe U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Segoe U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DA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EBD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9">
    <xf numFmtId="0" fontId="0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</cellStyleXfs>
  <cellXfs count="153">
    <xf numFmtId="0" fontId="0" fillId="0" borderId="0" xfId="0"/>
    <xf numFmtId="0" fontId="2" fillId="0" borderId="0" xfId="0" applyFont="1"/>
    <xf numFmtId="0" fontId="3" fillId="0" borderId="0" xfId="0" applyFont="1"/>
    <xf numFmtId="2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1" fillId="0" borderId="0" xfId="0" applyNumberFormat="1" applyFont="1"/>
    <xf numFmtId="164" fontId="1" fillId="0" borderId="0" xfId="0" applyNumberFormat="1" applyFont="1"/>
    <xf numFmtId="164" fontId="1" fillId="3" borderId="0" xfId="0" applyNumberFormat="1" applyFont="1" applyFill="1"/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9" fillId="3" borderId="0" xfId="0" applyFont="1" applyFill="1" applyAlignment="1">
      <alignment horizontal="left" vertical="top" wrapText="1"/>
    </xf>
    <xf numFmtId="0" fontId="10" fillId="4" borderId="0" xfId="0" applyFont="1" applyFill="1" applyAlignment="1">
      <alignment horizontal="left"/>
    </xf>
    <xf numFmtId="0" fontId="1" fillId="0" borderId="0" xfId="0" applyFont="1"/>
    <xf numFmtId="1" fontId="7" fillId="0" borderId="0" xfId="0" applyNumberFormat="1" applyFont="1" applyAlignment="1">
      <alignment horizontal="center" wrapText="1"/>
    </xf>
    <xf numFmtId="1" fontId="8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/>
    </xf>
    <xf numFmtId="0" fontId="0" fillId="5" borderId="0" xfId="0" applyFill="1"/>
    <xf numFmtId="2" fontId="0" fillId="5" borderId="0" xfId="0" applyNumberFormat="1" applyFill="1"/>
    <xf numFmtId="0" fontId="1" fillId="5" borderId="0" xfId="0" applyFont="1" applyFill="1"/>
    <xf numFmtId="1" fontId="7" fillId="6" borderId="0" xfId="0" applyNumberFormat="1" applyFont="1" applyFill="1" applyAlignment="1">
      <alignment horizontal="center" wrapText="1"/>
    </xf>
    <xf numFmtId="1" fontId="8" fillId="5" borderId="0" xfId="0" applyNumberFormat="1" applyFont="1" applyFill="1" applyAlignment="1">
      <alignment horizontal="center" vertical="top"/>
    </xf>
    <xf numFmtId="0" fontId="10" fillId="0" borderId="0" xfId="0" applyFont="1" applyAlignment="1">
      <alignment horizontal="left"/>
    </xf>
    <xf numFmtId="0" fontId="12" fillId="2" borderId="0" xfId="0" applyFont="1" applyFill="1"/>
    <xf numFmtId="0" fontId="12" fillId="0" borderId="0" xfId="0" applyFont="1"/>
    <xf numFmtId="0" fontId="14" fillId="7" borderId="0" xfId="1" applyFont="1" applyFill="1"/>
    <xf numFmtId="0" fontId="16" fillId="7" borderId="0" xfId="1" applyFont="1" applyFill="1"/>
    <xf numFmtId="0" fontId="16" fillId="0" borderId="0" xfId="1" applyFont="1"/>
    <xf numFmtId="0" fontId="17" fillId="7" borderId="0" xfId="1" applyFont="1" applyFill="1" applyAlignment="1">
      <alignment horizontal="center"/>
    </xf>
    <xf numFmtId="0" fontId="18" fillId="7" borderId="0" xfId="1" applyFont="1" applyFill="1"/>
    <xf numFmtId="0" fontId="17" fillId="8" borderId="2" xfId="1" applyFont="1" applyFill="1" applyBorder="1"/>
    <xf numFmtId="2" fontId="17" fillId="9" borderId="3" xfId="1" applyNumberFormat="1" applyFont="1" applyFill="1" applyBorder="1" applyAlignment="1">
      <alignment horizontal="center"/>
    </xf>
    <xf numFmtId="2" fontId="17" fillId="9" borderId="4" xfId="1" applyNumberFormat="1" applyFont="1" applyFill="1" applyBorder="1" applyAlignment="1">
      <alignment horizontal="center"/>
    </xf>
    <xf numFmtId="0" fontId="17" fillId="10" borderId="2" xfId="1" applyFont="1" applyFill="1" applyBorder="1"/>
    <xf numFmtId="165" fontId="17" fillId="10" borderId="3" xfId="1" applyNumberFormat="1" applyFont="1" applyFill="1" applyBorder="1"/>
    <xf numFmtId="165" fontId="17" fillId="10" borderId="4" xfId="1" applyNumberFormat="1" applyFont="1" applyFill="1" applyBorder="1"/>
    <xf numFmtId="2" fontId="16" fillId="7" borderId="0" xfId="1" applyNumberFormat="1" applyFont="1" applyFill="1"/>
    <xf numFmtId="165" fontId="16" fillId="7" borderId="0" xfId="1" applyNumberFormat="1" applyFont="1" applyFill="1"/>
    <xf numFmtId="0" fontId="16" fillId="0" borderId="0" xfId="1" applyFont="1" applyAlignment="1">
      <alignment horizontal="center"/>
    </xf>
    <xf numFmtId="2" fontId="16" fillId="0" borderId="0" xfId="1" applyNumberFormat="1" applyFont="1" applyAlignment="1">
      <alignment horizontal="center"/>
    </xf>
    <xf numFmtId="2" fontId="16" fillId="7" borderId="0" xfId="1" applyNumberFormat="1" applyFont="1" applyFill="1" applyAlignment="1">
      <alignment horizontal="center"/>
    </xf>
    <xf numFmtId="0" fontId="16" fillId="7" borderId="0" xfId="1" applyFont="1" applyFill="1" applyAlignment="1">
      <alignment horizontal="center"/>
    </xf>
    <xf numFmtId="164" fontId="16" fillId="7" borderId="0" xfId="1" applyNumberFormat="1" applyFont="1" applyFill="1"/>
    <xf numFmtId="2" fontId="21" fillId="11" borderId="7" xfId="1" applyNumberFormat="1" applyFont="1" applyFill="1" applyBorder="1" applyAlignment="1">
      <alignment horizontal="center"/>
    </xf>
    <xf numFmtId="164" fontId="21" fillId="11" borderId="8" xfId="1" applyNumberFormat="1" applyFont="1" applyFill="1" applyBorder="1" applyAlignment="1">
      <alignment horizontal="center"/>
    </xf>
    <xf numFmtId="0" fontId="21" fillId="11" borderId="8" xfId="1" applyFont="1" applyFill="1" applyBorder="1" applyAlignment="1">
      <alignment horizontal="center"/>
    </xf>
    <xf numFmtId="2" fontId="21" fillId="11" borderId="8" xfId="1" applyNumberFormat="1" applyFont="1" applyFill="1" applyBorder="1" applyAlignment="1">
      <alignment horizontal="center"/>
    </xf>
    <xf numFmtId="0" fontId="21" fillId="11" borderId="9" xfId="1" applyFont="1" applyFill="1" applyBorder="1" applyAlignment="1">
      <alignment horizontal="center"/>
    </xf>
    <xf numFmtId="0" fontId="19" fillId="12" borderId="10" xfId="1" applyFont="1" applyFill="1" applyBorder="1" applyAlignment="1">
      <alignment horizontal="center"/>
    </xf>
    <xf numFmtId="0" fontId="19" fillId="12" borderId="11" xfId="1" applyFont="1" applyFill="1" applyBorder="1" applyAlignment="1">
      <alignment horizontal="center"/>
    </xf>
    <xf numFmtId="0" fontId="22" fillId="14" borderId="10" xfId="1" applyFont="1" applyFill="1" applyBorder="1" applyAlignment="1">
      <alignment horizontal="center"/>
    </xf>
    <xf numFmtId="0" fontId="19" fillId="12" borderId="12" xfId="1" applyFont="1" applyFill="1" applyBorder="1" applyAlignment="1">
      <alignment horizontal="center"/>
    </xf>
    <xf numFmtId="2" fontId="21" fillId="11" borderId="13" xfId="1" applyNumberFormat="1" applyFont="1" applyFill="1" applyBorder="1" applyAlignment="1">
      <alignment horizontal="center"/>
    </xf>
    <xf numFmtId="164" fontId="21" fillId="11" borderId="14" xfId="1" applyNumberFormat="1" applyFont="1" applyFill="1" applyBorder="1" applyAlignment="1">
      <alignment horizontal="center"/>
    </xf>
    <xf numFmtId="0" fontId="21" fillId="11" borderId="14" xfId="1" applyFont="1" applyFill="1" applyBorder="1" applyAlignment="1">
      <alignment horizontal="center"/>
    </xf>
    <xf numFmtId="2" fontId="21" fillId="11" borderId="14" xfId="1" applyNumberFormat="1" applyFont="1" applyFill="1" applyBorder="1" applyAlignment="1">
      <alignment horizontal="center"/>
    </xf>
    <xf numFmtId="0" fontId="21" fillId="11" borderId="15" xfId="1" applyFont="1" applyFill="1" applyBorder="1" applyAlignment="1">
      <alignment horizontal="center"/>
    </xf>
    <xf numFmtId="0" fontId="19" fillId="12" borderId="16" xfId="1" applyFont="1" applyFill="1" applyBorder="1" applyAlignment="1">
      <alignment horizontal="center"/>
    </xf>
    <xf numFmtId="0" fontId="17" fillId="15" borderId="17" xfId="1" applyFont="1" applyFill="1" applyBorder="1"/>
    <xf numFmtId="0" fontId="17" fillId="10" borderId="3" xfId="1" applyFont="1" applyFill="1" applyBorder="1"/>
    <xf numFmtId="0" fontId="17" fillId="10" borderId="4" xfId="1" applyFont="1" applyFill="1" applyBorder="1"/>
    <xf numFmtId="0" fontId="17" fillId="8" borderId="20" xfId="1" applyFont="1" applyFill="1" applyBorder="1"/>
    <xf numFmtId="164" fontId="17" fillId="9" borderId="18" xfId="1" applyNumberFormat="1" applyFont="1" applyFill="1" applyBorder="1" applyAlignment="1">
      <alignment horizontal="center"/>
    </xf>
    <xf numFmtId="0" fontId="17" fillId="10" borderId="21" xfId="1" applyFont="1" applyFill="1" applyBorder="1"/>
    <xf numFmtId="165" fontId="17" fillId="10" borderId="22" xfId="1" applyNumberFormat="1" applyFont="1" applyFill="1" applyBorder="1"/>
    <xf numFmtId="165" fontId="17" fillId="10" borderId="23" xfId="1" applyNumberFormat="1" applyFont="1" applyFill="1" applyBorder="1"/>
    <xf numFmtId="0" fontId="17" fillId="8" borderId="21" xfId="1" applyFont="1" applyFill="1" applyBorder="1"/>
    <xf numFmtId="2" fontId="17" fillId="9" borderId="22" xfId="1" applyNumberFormat="1" applyFont="1" applyFill="1" applyBorder="1" applyAlignment="1">
      <alignment horizontal="center"/>
    </xf>
    <xf numFmtId="2" fontId="17" fillId="9" borderId="23" xfId="1" applyNumberFormat="1" applyFont="1" applyFill="1" applyBorder="1" applyAlignment="1">
      <alignment horizontal="center"/>
    </xf>
    <xf numFmtId="0" fontId="16" fillId="11" borderId="24" xfId="1" applyFont="1" applyFill="1" applyBorder="1"/>
    <xf numFmtId="2" fontId="16" fillId="11" borderId="24" xfId="1" applyNumberFormat="1" applyFont="1" applyFill="1" applyBorder="1"/>
    <xf numFmtId="164" fontId="16" fillId="11" borderId="25" xfId="1" applyNumberFormat="1" applyFont="1" applyFill="1" applyBorder="1"/>
    <xf numFmtId="0" fontId="19" fillId="11" borderId="22" xfId="1" applyFont="1" applyFill="1" applyBorder="1" applyAlignment="1">
      <alignment horizontal="center" vertical="center"/>
    </xf>
    <xf numFmtId="166" fontId="16" fillId="0" borderId="0" xfId="1" applyNumberFormat="1" applyFont="1"/>
    <xf numFmtId="0" fontId="23" fillId="16" borderId="26" xfId="1" applyFont="1" applyFill="1" applyBorder="1" applyAlignment="1">
      <alignment horizontal="center"/>
    </xf>
    <xf numFmtId="2" fontId="21" fillId="11" borderId="27" xfId="1" applyNumberFormat="1" applyFont="1" applyFill="1" applyBorder="1" applyAlignment="1">
      <alignment horizontal="center"/>
    </xf>
    <xf numFmtId="0" fontId="23" fillId="16" borderId="28" xfId="1" applyFont="1" applyFill="1" applyBorder="1" applyAlignment="1">
      <alignment horizontal="center"/>
    </xf>
    <xf numFmtId="2" fontId="16" fillId="0" borderId="0" xfId="1" applyNumberFormat="1" applyFont="1"/>
    <xf numFmtId="164" fontId="16" fillId="0" borderId="0" xfId="1" applyNumberFormat="1" applyFont="1"/>
    <xf numFmtId="0" fontId="16" fillId="0" borderId="0" xfId="1" applyFont="1" applyAlignment="1">
      <alignment vertical="center" textRotation="45" wrapText="1"/>
    </xf>
    <xf numFmtId="0" fontId="16" fillId="0" borderId="0" xfId="1" applyFont="1" applyAlignment="1">
      <alignment textRotation="45"/>
    </xf>
    <xf numFmtId="0" fontId="22" fillId="14" borderId="29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 wrapText="1"/>
    </xf>
    <xf numFmtId="0" fontId="16" fillId="0" borderId="0" xfId="1" applyFont="1" applyAlignment="1">
      <alignment vertical="center"/>
    </xf>
    <xf numFmtId="0" fontId="24" fillId="0" borderId="0" xfId="1" applyFont="1" applyAlignment="1">
      <alignment horizontal="center" vertical="center" wrapText="1"/>
    </xf>
    <xf numFmtId="3" fontId="24" fillId="16" borderId="0" xfId="1" applyNumberFormat="1" applyFont="1" applyFill="1" applyAlignment="1">
      <alignment horizontal="right"/>
    </xf>
    <xf numFmtId="0" fontId="20" fillId="2" borderId="0" xfId="0" applyFont="1" applyFill="1"/>
    <xf numFmtId="0" fontId="25" fillId="0" borderId="0" xfId="0" applyFont="1"/>
    <xf numFmtId="0" fontId="16" fillId="0" borderId="0" xfId="0" applyFont="1"/>
    <xf numFmtId="0" fontId="25" fillId="0" borderId="0" xfId="0" applyFont="1" applyAlignment="1">
      <alignment horizontal="center"/>
    </xf>
    <xf numFmtId="0" fontId="20" fillId="0" borderId="0" xfId="0" applyFont="1"/>
    <xf numFmtId="0" fontId="26" fillId="4" borderId="0" xfId="0" applyFont="1" applyFill="1" applyAlignment="1">
      <alignment horizontal="left"/>
    </xf>
    <xf numFmtId="0" fontId="26" fillId="0" borderId="0" xfId="0" applyFont="1" applyAlignment="1">
      <alignment horizontal="left"/>
    </xf>
    <xf numFmtId="0" fontId="25" fillId="2" borderId="0" xfId="0" applyFont="1" applyFill="1"/>
    <xf numFmtId="2" fontId="17" fillId="0" borderId="0" xfId="0" applyNumberFormat="1" applyFont="1" applyAlignment="1">
      <alignment horizontal="center"/>
    </xf>
    <xf numFmtId="164" fontId="17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2" fontId="17" fillId="0" borderId="0" xfId="0" applyNumberFormat="1" applyFont="1"/>
    <xf numFmtId="164" fontId="17" fillId="0" borderId="0" xfId="0" applyNumberFormat="1" applyFont="1"/>
    <xf numFmtId="0" fontId="16" fillId="3" borderId="0" xfId="0" applyFont="1" applyFill="1" applyAlignment="1">
      <alignment horizontal="center"/>
    </xf>
    <xf numFmtId="0" fontId="17" fillId="5" borderId="0" xfId="0" applyFont="1" applyFill="1"/>
    <xf numFmtId="1" fontId="29" fillId="6" borderId="0" xfId="0" applyNumberFormat="1" applyFont="1" applyFill="1" applyAlignment="1">
      <alignment horizontal="center" wrapText="1"/>
    </xf>
    <xf numFmtId="1" fontId="30" fillId="5" borderId="0" xfId="0" applyNumberFormat="1" applyFont="1" applyFill="1" applyAlignment="1">
      <alignment horizontal="center" vertical="top"/>
    </xf>
    <xf numFmtId="0" fontId="17" fillId="0" borderId="0" xfId="0" applyFont="1"/>
    <xf numFmtId="1" fontId="29" fillId="0" borderId="0" xfId="0" applyNumberFormat="1" applyFont="1" applyAlignment="1">
      <alignment horizontal="center" wrapText="1"/>
    </xf>
    <xf numFmtId="1" fontId="30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/>
    </xf>
    <xf numFmtId="0" fontId="31" fillId="3" borderId="0" xfId="0" applyFont="1" applyFill="1" applyAlignment="1">
      <alignment horizontal="left" vertical="top" wrapText="1"/>
    </xf>
    <xf numFmtId="164" fontId="17" fillId="3" borderId="0" xfId="0" applyNumberFormat="1" applyFont="1" applyFill="1"/>
    <xf numFmtId="2" fontId="16" fillId="0" borderId="18" xfId="2" applyNumberFormat="1" applyFont="1" applyBorder="1" applyAlignment="1">
      <alignment horizontal="center"/>
    </xf>
    <xf numFmtId="0" fontId="25" fillId="13" borderId="18" xfId="1" applyFont="1" applyFill="1" applyBorder="1" applyAlignment="1">
      <alignment horizontal="left" vertical="center" wrapText="1"/>
    </xf>
    <xf numFmtId="2" fontId="25" fillId="13" borderId="18" xfId="1" applyNumberFormat="1" applyFont="1" applyFill="1" applyBorder="1" applyAlignment="1">
      <alignment horizontal="center"/>
    </xf>
    <xf numFmtId="2" fontId="16" fillId="13" borderId="18" xfId="1" applyNumberFormat="1" applyFont="1" applyFill="1" applyBorder="1" applyAlignment="1">
      <alignment horizontal="center"/>
    </xf>
    <xf numFmtId="0" fontId="25" fillId="0" borderId="30" xfId="0" applyFont="1" applyBorder="1"/>
    <xf numFmtId="0" fontId="27" fillId="0" borderId="30" xfId="0" applyFont="1" applyBorder="1"/>
    <xf numFmtId="0" fontId="17" fillId="8" borderId="31" xfId="1" applyFont="1" applyFill="1" applyBorder="1"/>
    <xf numFmtId="164" fontId="17" fillId="9" borderId="30" xfId="1" applyNumberFormat="1" applyFont="1" applyFill="1" applyBorder="1" applyAlignment="1">
      <alignment horizontal="center"/>
    </xf>
    <xf numFmtId="164" fontId="17" fillId="9" borderId="32" xfId="1" applyNumberFormat="1" applyFont="1" applyFill="1" applyBorder="1" applyAlignment="1">
      <alignment horizontal="center"/>
    </xf>
    <xf numFmtId="0" fontId="17" fillId="10" borderId="33" xfId="1" applyFont="1" applyFill="1" applyBorder="1"/>
    <xf numFmtId="165" fontId="17" fillId="10" borderId="34" xfId="1" applyNumberFormat="1" applyFont="1" applyFill="1" applyBorder="1"/>
    <xf numFmtId="165" fontId="17" fillId="10" borderId="35" xfId="1" applyNumberFormat="1" applyFont="1" applyFill="1" applyBorder="1"/>
    <xf numFmtId="0" fontId="17" fillId="8" borderId="33" xfId="1" applyFont="1" applyFill="1" applyBorder="1"/>
    <xf numFmtId="2" fontId="17" fillId="9" borderId="34" xfId="1" applyNumberFormat="1" applyFont="1" applyFill="1" applyBorder="1" applyAlignment="1">
      <alignment horizontal="center"/>
    </xf>
    <xf numFmtId="2" fontId="17" fillId="9" borderId="35" xfId="1" applyNumberFormat="1" applyFont="1" applyFill="1" applyBorder="1" applyAlignment="1">
      <alignment horizontal="center"/>
    </xf>
    <xf numFmtId="0" fontId="16" fillId="11" borderId="36" xfId="1" applyFont="1" applyFill="1" applyBorder="1"/>
    <xf numFmtId="2" fontId="16" fillId="11" borderId="36" xfId="1" applyNumberFormat="1" applyFont="1" applyFill="1" applyBorder="1" applyAlignment="1">
      <alignment horizontal="center"/>
    </xf>
    <xf numFmtId="164" fontId="16" fillId="11" borderId="37" xfId="1" applyNumberFormat="1" applyFont="1" applyFill="1" applyBorder="1" applyAlignment="1">
      <alignment horizontal="center"/>
    </xf>
    <xf numFmtId="0" fontId="19" fillId="11" borderId="34" xfId="1" applyFont="1" applyFill="1" applyBorder="1" applyAlignment="1">
      <alignment horizontal="center" vertical="center"/>
    </xf>
    <xf numFmtId="0" fontId="25" fillId="13" borderId="30" xfId="1" applyFont="1" applyFill="1" applyBorder="1" applyAlignment="1">
      <alignment horizontal="left" vertical="center" wrapText="1"/>
    </xf>
    <xf numFmtId="2" fontId="25" fillId="13" borderId="30" xfId="1" applyNumberFormat="1" applyFont="1" applyFill="1" applyBorder="1" applyAlignment="1">
      <alignment horizontal="center"/>
    </xf>
    <xf numFmtId="164" fontId="25" fillId="13" borderId="30" xfId="1" applyNumberFormat="1" applyFont="1" applyFill="1" applyBorder="1" applyAlignment="1">
      <alignment horizontal="center"/>
    </xf>
    <xf numFmtId="164" fontId="17" fillId="9" borderId="16" xfId="1" applyNumberFormat="1" applyFont="1" applyFill="1" applyBorder="1" applyAlignment="1">
      <alignment horizontal="center"/>
    </xf>
    <xf numFmtId="0" fontId="5" fillId="0" borderId="18" xfId="0" applyFont="1" applyBorder="1"/>
    <xf numFmtId="0" fontId="6" fillId="0" borderId="18" xfId="0" applyFont="1" applyBorder="1"/>
    <xf numFmtId="0" fontId="33" fillId="0" borderId="0" xfId="0" applyFont="1"/>
    <xf numFmtId="0" fontId="15" fillId="7" borderId="1" xfId="1" applyFont="1" applyFill="1" applyBorder="1"/>
    <xf numFmtId="0" fontId="19" fillId="11" borderId="5" xfId="1" applyFont="1" applyFill="1" applyBorder="1" applyAlignment="1">
      <alignment horizontal="center" vertical="center"/>
    </xf>
    <xf numFmtId="0" fontId="19" fillId="11" borderId="6" xfId="1" applyFont="1" applyFill="1" applyBorder="1" applyAlignment="1">
      <alignment horizontal="center" vertical="center"/>
    </xf>
    <xf numFmtId="0" fontId="19" fillId="12" borderId="3" xfId="1" applyFont="1" applyFill="1" applyBorder="1" applyAlignment="1">
      <alignment horizontal="center" vertical="center"/>
    </xf>
    <xf numFmtId="0" fontId="19" fillId="12" borderId="34" xfId="1" applyFont="1" applyFill="1" applyBorder="1" applyAlignment="1">
      <alignment horizontal="center" vertical="center"/>
    </xf>
    <xf numFmtId="0" fontId="15" fillId="7" borderId="0" xfId="1" applyFont="1" applyFill="1" applyAlignment="1">
      <alignment horizontal="left"/>
    </xf>
    <xf numFmtId="0" fontId="15" fillId="7" borderId="1" xfId="1" applyFont="1" applyFill="1" applyBorder="1" applyAlignment="1">
      <alignment horizontal="left"/>
    </xf>
    <xf numFmtId="0" fontId="20" fillId="0" borderId="4" xfId="1" applyFont="1" applyBorder="1" applyAlignment="1">
      <alignment horizontal="center" vertical="center"/>
    </xf>
    <xf numFmtId="0" fontId="20" fillId="0" borderId="35" xfId="1" applyFont="1" applyBorder="1" applyAlignment="1">
      <alignment horizontal="center" vertical="center"/>
    </xf>
    <xf numFmtId="0" fontId="19" fillId="11" borderId="33" xfId="1" applyFont="1" applyFill="1" applyBorder="1" applyAlignment="1">
      <alignment horizontal="center" vertical="center"/>
    </xf>
    <xf numFmtId="0" fontId="19" fillId="11" borderId="34" xfId="1" applyFont="1" applyFill="1" applyBorder="1" applyAlignment="1">
      <alignment horizontal="center" vertical="center"/>
    </xf>
    <xf numFmtId="0" fontId="20" fillId="0" borderId="23" xfId="1" applyFont="1" applyBorder="1" applyAlignment="1">
      <alignment horizontal="center" vertical="center"/>
    </xf>
    <xf numFmtId="0" fontId="19" fillId="11" borderId="21" xfId="1" applyFont="1" applyFill="1" applyBorder="1" applyAlignment="1">
      <alignment horizontal="center" vertical="center"/>
    </xf>
    <xf numFmtId="0" fontId="19" fillId="11" borderId="22" xfId="1" applyFont="1" applyFill="1" applyBorder="1" applyAlignment="1">
      <alignment horizontal="center" vertical="center"/>
    </xf>
    <xf numFmtId="0" fontId="15" fillId="7" borderId="19" xfId="1" applyFont="1" applyFill="1" applyBorder="1" applyAlignment="1">
      <alignment horizontal="left"/>
    </xf>
    <xf numFmtId="0" fontId="19" fillId="12" borderId="22" xfId="1" applyFont="1" applyFill="1" applyBorder="1" applyAlignment="1">
      <alignment horizontal="center" vertical="center"/>
    </xf>
  </cellXfs>
  <cellStyles count="9">
    <cellStyle name="Normal" xfId="0" builtinId="0"/>
    <cellStyle name="Normal 2" xfId="1" xr:uid="{C40A6B5C-96B4-4AB9-B5DF-CB1EB4DEAA77}"/>
    <cellStyle name="Normal 2 2 11" xfId="2" xr:uid="{E0B2F817-DD4E-4DB5-A5F2-6A3028682E1D}"/>
    <cellStyle name="style1549992417779" xfId="3" xr:uid="{637202D4-8D30-42A6-98E9-F9C835B2D4E8}"/>
    <cellStyle name="style1549992417807" xfId="5" xr:uid="{4F4649D9-5BE4-48A0-80C4-50E38A7AC5F7}"/>
    <cellStyle name="style1549992417839" xfId="7" xr:uid="{D8C1B6BD-78A6-4FA8-B02E-BF440A72D92B}"/>
    <cellStyle name="style1549992417920" xfId="4" xr:uid="{481FF53E-60AB-41E9-9069-205CDEF3328E}"/>
    <cellStyle name="style1549992417978" xfId="6" xr:uid="{1C0B57A2-A2D2-465E-B6BD-0FE3A3893ADA}"/>
    <cellStyle name="style1549992418051" xfId="8" xr:uid="{A80B8D61-F834-4206-BD9F-D3AA1F361565}"/>
  </cellStyles>
  <dxfs count="72"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theme="7" tint="0.79998168889431442"/>
      </font>
      <fill>
        <patternFill patternType="solid">
          <fgColor indexed="64"/>
          <bgColor theme="7" tint="0.79998168889431442"/>
        </patternFill>
      </fill>
    </dxf>
    <dxf>
      <font>
        <color theme="7" tint="0.79998168889431442"/>
      </font>
      <fill>
        <patternFill patternType="solid">
          <fgColor indexed="64"/>
          <bgColor theme="7" tint="0.79998168889431442"/>
        </patternFill>
      </fill>
    </dxf>
    <dxf>
      <font>
        <color theme="7" tint="0.79998168889431442"/>
      </font>
      <fill>
        <patternFill patternType="solid">
          <fgColor indexed="64"/>
          <bgColor theme="7" tint="0.79998168889431442"/>
        </patternFill>
      </fill>
    </dxf>
    <dxf>
      <font>
        <color theme="7" tint="0.79998168889431442"/>
      </font>
      <fill>
        <patternFill patternType="solid">
          <fgColor indexed="64"/>
          <bgColor theme="7" tint="0.79998168889431442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00B050"/>
      </font>
      <fill>
        <patternFill patternType="solid">
          <fgColor indexed="64"/>
          <bgColor rgb="FF00B050"/>
        </patternFill>
      </fill>
    </dxf>
    <dxf>
      <font>
        <color theme="7"/>
      </font>
      <fill>
        <patternFill patternType="solid">
          <fgColor indexed="64"/>
          <bgColor theme="7"/>
        </patternFill>
      </fill>
    </dxf>
    <dxf>
      <font>
        <color theme="5"/>
      </font>
      <fill>
        <patternFill patternType="solid">
          <fgColor indexed="64"/>
          <bgColor theme="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00B050"/>
      </font>
      <fill>
        <patternFill patternType="solid">
          <fgColor indexed="64"/>
          <bgColor rgb="FF00B050"/>
        </patternFill>
      </fill>
    </dxf>
    <dxf>
      <font>
        <color theme="7"/>
      </font>
      <fill>
        <patternFill patternType="solid">
          <fgColor indexed="64"/>
          <bgColor theme="7"/>
        </patternFill>
      </fill>
    </dxf>
    <dxf>
      <font>
        <color theme="5"/>
      </font>
      <fill>
        <patternFill patternType="solid">
          <fgColor indexed="64"/>
          <bgColor theme="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FAB0D5"/>
      </font>
      <fill>
        <patternFill patternType="solid">
          <fgColor indexed="64"/>
          <bgColor rgb="FFFAB0D5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rgb="FFF7AA3C"/>
      </font>
      <fill>
        <patternFill patternType="solid">
          <fgColor indexed="64"/>
          <bgColor rgb="FFF7AA3C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rgb="FFF7AA3C"/>
      </font>
      <fill>
        <patternFill patternType="solid">
          <fgColor indexed="64"/>
          <bgColor rgb="FFF7AA3C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rgb="FFF7AA3C"/>
      </font>
      <fill>
        <patternFill patternType="solid">
          <fgColor indexed="64"/>
          <bgColor rgb="FFF7AA3C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rgb="FFF7AA3C"/>
      </font>
      <fill>
        <patternFill patternType="solid">
          <fgColor indexed="64"/>
          <bgColor rgb="FFF7AA3C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rgb="FFF7AA3C"/>
      </font>
      <fill>
        <patternFill patternType="solid">
          <fgColor indexed="64"/>
          <bgColor rgb="FFF7AA3C"/>
        </patternFill>
      </fill>
    </dxf>
    <dxf>
      <font>
        <color rgb="FF3A8062"/>
      </font>
      <fill>
        <patternFill patternType="solid">
          <fgColor indexed="64"/>
          <bgColor rgb="FF3A8062"/>
        </patternFill>
      </fill>
    </dxf>
    <dxf>
      <font>
        <color rgb="FFFC5C47"/>
      </font>
      <fill>
        <patternFill patternType="solid">
          <fgColor indexed="64"/>
          <bgColor rgb="FFFC5C47"/>
        </patternFill>
      </fill>
    </dxf>
    <dxf>
      <font>
        <color rgb="FF296CDA"/>
      </font>
      <fill>
        <patternFill patternType="solid">
          <fgColor indexed="64"/>
          <bgColor rgb="FF296CDA"/>
        </patternFill>
      </fill>
    </dxf>
    <dxf>
      <font>
        <color rgb="FFF7AA3C"/>
      </font>
      <fill>
        <patternFill patternType="solid">
          <fgColor indexed="64"/>
          <bgColor rgb="FFF7AA3C"/>
        </patternFill>
      </fill>
    </dxf>
  </dxfs>
  <tableStyles count="0" defaultTableStyle="TableStyleMedium2" defaultPivotStyle="PivotStyleLight16"/>
  <colors>
    <mruColors>
      <color rgb="FF3B455B"/>
      <color rgb="FF3A8062"/>
      <color rgb="FFFC5C47"/>
      <color rgb="FF296CDA"/>
      <color rgb="FFFAB0D5"/>
      <color rgb="FFF7AA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9</xdr:col>
          <xdr:colOff>355600</xdr:colOff>
          <xdr:row>77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9</xdr:col>
          <xdr:colOff>355600</xdr:colOff>
          <xdr:row>77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9</xdr:col>
          <xdr:colOff>355600</xdr:colOff>
          <xdr:row>77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9</xdr:col>
          <xdr:colOff>355600</xdr:colOff>
          <xdr:row>77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9</xdr:col>
          <xdr:colOff>355600</xdr:colOff>
          <xdr:row>77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9</xdr:col>
          <xdr:colOff>355600</xdr:colOff>
          <xdr:row>77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9</xdr:col>
          <xdr:colOff>355600</xdr:colOff>
          <xdr:row>77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645224</xdr:colOff>
      <xdr:row>6</xdr:row>
      <xdr:rowOff>121926</xdr:rowOff>
    </xdr:from>
    <xdr:to>
      <xdr:col>12</xdr:col>
      <xdr:colOff>193724</xdr:colOff>
      <xdr:row>7</xdr:row>
      <xdr:rowOff>110992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869099" y="1307259"/>
          <a:ext cx="882000" cy="158400"/>
        </a:xfrm>
        <a:prstGeom prst="rect">
          <a:avLst/>
        </a:prstGeom>
        <a:gradFill rotWithShape="0">
          <a:gsLst>
            <a:gs pos="50000">
              <a:srgbClr val="6398CF"/>
            </a:gs>
            <a:gs pos="29000">
              <a:srgbClr val="6398CF"/>
            </a:gs>
            <a:gs pos="24000">
              <a:srgbClr val="CA1023"/>
            </a:gs>
            <a:gs pos="77000">
              <a:srgbClr val="00B050"/>
            </a:gs>
            <a:gs pos="55000">
              <a:srgbClr val="00B050"/>
            </a:gs>
            <a:gs pos="82000">
              <a:srgbClr val="E4D33E"/>
            </a:gs>
          </a:gsLst>
          <a:lin ang="0" scaled="0"/>
        </a:gradFill>
        <a:ln w="9525" cap="flat" cmpd="sng" algn="ctr">
          <a:solidFill>
            <a:sysClr val="window" lastClr="FFFFFF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643740</xdr:colOff>
      <xdr:row>5</xdr:row>
      <xdr:rowOff>100773</xdr:rowOff>
    </xdr:from>
    <xdr:to>
      <xdr:col>12</xdr:col>
      <xdr:colOff>192240</xdr:colOff>
      <xdr:row>6</xdr:row>
      <xdr:rowOff>89840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3867615" y="1116773"/>
          <a:ext cx="882000" cy="158400"/>
        </a:xfrm>
        <a:prstGeom prst="rect">
          <a:avLst/>
        </a:prstGeom>
        <a:gradFill rotWithShape="0">
          <a:gsLst>
            <a:gs pos="47000">
              <a:srgbClr val="00B050"/>
            </a:gs>
            <a:gs pos="55000">
              <a:srgbClr val="E4D33E"/>
            </a:gs>
          </a:gsLst>
          <a:lin ang="0" scaled="0"/>
        </a:gradFill>
        <a:ln w="9525" cap="flat" cmpd="sng" algn="ctr">
          <a:solidFill>
            <a:sysClr val="window" lastClr="FFFFFF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648826</xdr:colOff>
      <xdr:row>4</xdr:row>
      <xdr:rowOff>79621</xdr:rowOff>
    </xdr:from>
    <xdr:to>
      <xdr:col>12</xdr:col>
      <xdr:colOff>197326</xdr:colOff>
      <xdr:row>5</xdr:row>
      <xdr:rowOff>68688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3872701" y="926288"/>
          <a:ext cx="882000" cy="158400"/>
        </a:xfrm>
        <a:prstGeom prst="rect">
          <a:avLst/>
        </a:prstGeom>
        <a:gradFill rotWithShape="0">
          <a:gsLst>
            <a:gs pos="47000">
              <a:srgbClr val="CA1023"/>
            </a:gs>
            <a:gs pos="55000">
              <a:srgbClr val="6398CF"/>
            </a:gs>
          </a:gsLst>
          <a:lin ang="0" scaled="0"/>
        </a:gradFill>
        <a:ln w="9525" cap="flat" cmpd="sng" algn="ctr">
          <a:solidFill>
            <a:sysClr val="window" lastClr="FFFFFF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647699</xdr:colOff>
      <xdr:row>3</xdr:row>
      <xdr:rowOff>58470</xdr:rowOff>
    </xdr:from>
    <xdr:to>
      <xdr:col>12</xdr:col>
      <xdr:colOff>196199</xdr:colOff>
      <xdr:row>4</xdr:row>
      <xdr:rowOff>47536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13871574" y="735803"/>
          <a:ext cx="882000" cy="158400"/>
        </a:xfrm>
        <a:prstGeom prst="rect">
          <a:avLst/>
        </a:prstGeom>
        <a:gradFill rotWithShape="0">
          <a:gsLst>
            <a:gs pos="47000">
              <a:srgbClr val="CA1023"/>
            </a:gs>
            <a:gs pos="55000">
              <a:srgbClr val="00B050"/>
            </a:gs>
          </a:gsLst>
          <a:lin ang="0" scaled="0"/>
        </a:gradFill>
        <a:ln w="9525" cap="flat" cmpd="sng" algn="ctr">
          <a:solidFill>
            <a:sysClr val="window" lastClr="FFFFFF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647476</xdr:colOff>
      <xdr:row>2</xdr:row>
      <xdr:rowOff>36368</xdr:rowOff>
    </xdr:from>
    <xdr:to>
      <xdr:col>12</xdr:col>
      <xdr:colOff>195976</xdr:colOff>
      <xdr:row>3</xdr:row>
      <xdr:rowOff>26385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>
        <a:xfrm>
          <a:off x="13871351" y="544368"/>
          <a:ext cx="882000" cy="159350"/>
        </a:xfrm>
        <a:prstGeom prst="rect">
          <a:avLst/>
        </a:prstGeom>
        <a:gradFill rotWithShape="0">
          <a:gsLst>
            <a:gs pos="47000">
              <a:srgbClr val="6398CF"/>
            </a:gs>
            <a:gs pos="55000">
              <a:srgbClr val="E4D33E"/>
            </a:gs>
          </a:gsLst>
          <a:lin ang="0" scaled="0"/>
        </a:gradFill>
        <a:ln w="9525" cap="flat" cmpd="sng" algn="ctr">
          <a:solidFill>
            <a:sysClr val="window" lastClr="FFFFFF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6</xdr:col>
          <xdr:colOff>355600</xdr:colOff>
          <xdr:row>77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6</xdr:col>
          <xdr:colOff>355600</xdr:colOff>
          <xdr:row>77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6</xdr:col>
          <xdr:colOff>355600</xdr:colOff>
          <xdr:row>77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6</xdr:col>
          <xdr:colOff>355600</xdr:colOff>
          <xdr:row>77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6</xdr:col>
          <xdr:colOff>355600</xdr:colOff>
          <xdr:row>77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74</xdr:row>
          <xdr:rowOff>50800</xdr:rowOff>
        </xdr:from>
        <xdr:to>
          <xdr:col>6</xdr:col>
          <xdr:colOff>355600</xdr:colOff>
          <xdr:row>77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GS Rebrand 2021 Colours">
      <a:dk1>
        <a:srgbClr val="3B455B"/>
      </a:dk1>
      <a:lt1>
        <a:srgbClr val="FFFFFF"/>
      </a:lt1>
      <a:dk2>
        <a:srgbClr val="2B3990"/>
      </a:dk2>
      <a:lt2>
        <a:srgbClr val="EDEDEF"/>
      </a:lt2>
      <a:accent1>
        <a:srgbClr val="1B4DB3"/>
      </a:accent1>
      <a:accent2>
        <a:srgbClr val="3F6380"/>
      </a:accent2>
      <a:accent3>
        <a:srgbClr val="2B6EDA"/>
      </a:accent3>
      <a:accent4>
        <a:srgbClr val="18A8E2"/>
      </a:accent4>
      <a:accent5>
        <a:srgbClr val="F7AC40"/>
      </a:accent5>
      <a:accent6>
        <a:srgbClr val="FC5B46"/>
      </a:accent6>
      <a:hlink>
        <a:srgbClr val="2B3990"/>
      </a:hlink>
      <a:folHlink>
        <a:srgbClr val="4DCAE8"/>
      </a:folHlink>
    </a:clrScheme>
    <a:fontScheme name="Globescan Standard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B152-F361-4994-85D2-081445472C08}">
  <sheetPr codeName="Sheet3"/>
  <dimension ref="A1:J83"/>
  <sheetViews>
    <sheetView tabSelected="1" zoomScaleNormal="100" workbookViewId="0">
      <selection activeCell="A81" sqref="A81"/>
    </sheetView>
  </sheetViews>
  <sheetFormatPr defaultColWidth="8.75" defaultRowHeight="16.5" x14ac:dyDescent="0.45"/>
  <cols>
    <col min="1" max="1" width="38.25" customWidth="1"/>
    <col min="4" max="9" width="15.58203125" customWidth="1"/>
    <col min="10" max="10" width="158.33203125" customWidth="1"/>
    <col min="12" max="12" width="147.33203125" customWidth="1"/>
  </cols>
  <sheetData>
    <row r="1" spans="1:10" x14ac:dyDescent="0.45">
      <c r="A1" s="88" t="s">
        <v>0</v>
      </c>
      <c r="B1" s="89"/>
      <c r="C1" s="89"/>
      <c r="D1" s="89"/>
      <c r="E1" s="90"/>
      <c r="F1" s="91"/>
      <c r="G1" s="91"/>
      <c r="H1" s="91"/>
      <c r="I1" s="91"/>
    </row>
    <row r="2" spans="1:10" x14ac:dyDescent="0.45">
      <c r="A2" s="92"/>
      <c r="B2" s="89"/>
      <c r="C2" s="89"/>
      <c r="D2" s="89"/>
      <c r="E2" s="90"/>
      <c r="F2" s="91"/>
      <c r="G2" s="91"/>
      <c r="H2" s="91"/>
      <c r="I2" s="91"/>
    </row>
    <row r="3" spans="1:10" ht="21" x14ac:dyDescent="0.55000000000000004">
      <c r="A3" s="92" t="s">
        <v>1</v>
      </c>
      <c r="B3" s="89"/>
      <c r="C3" s="89"/>
      <c r="D3" s="89"/>
      <c r="E3" s="90"/>
      <c r="F3" s="91"/>
      <c r="G3" s="91"/>
      <c r="H3" s="91"/>
      <c r="I3" s="91"/>
      <c r="J3" s="93" t="s">
        <v>2</v>
      </c>
    </row>
    <row r="4" spans="1:10" ht="21" x14ac:dyDescent="0.55000000000000004">
      <c r="A4" s="92" t="s">
        <v>3</v>
      </c>
      <c r="B4" s="89"/>
      <c r="C4" s="89"/>
      <c r="D4" s="89"/>
      <c r="E4" s="89"/>
      <c r="F4" s="91"/>
      <c r="G4" s="91"/>
      <c r="H4" s="91"/>
      <c r="I4" s="91"/>
      <c r="J4" s="93" t="s">
        <v>4</v>
      </c>
    </row>
    <row r="5" spans="1:10" ht="21" x14ac:dyDescent="0.55000000000000004">
      <c r="A5" s="92"/>
      <c r="B5" s="89"/>
      <c r="C5" s="89"/>
      <c r="D5" s="89"/>
      <c r="E5" s="89"/>
      <c r="F5" s="91"/>
      <c r="G5" s="91"/>
      <c r="H5" s="91"/>
      <c r="I5" s="91"/>
      <c r="J5" s="93" t="s">
        <v>5</v>
      </c>
    </row>
    <row r="6" spans="1:10" ht="21" x14ac:dyDescent="0.55000000000000004">
      <c r="A6" s="92" t="s">
        <v>6</v>
      </c>
      <c r="B6" s="89"/>
      <c r="C6" s="89"/>
      <c r="D6" s="89"/>
      <c r="E6" s="89"/>
      <c r="F6" s="91"/>
      <c r="G6" s="91"/>
      <c r="H6" s="91"/>
      <c r="I6" s="91"/>
      <c r="J6" s="93" t="s">
        <v>7</v>
      </c>
    </row>
    <row r="7" spans="1:10" ht="21" x14ac:dyDescent="0.55000000000000004">
      <c r="A7" s="92"/>
      <c r="B7" s="89"/>
      <c r="C7" s="89"/>
      <c r="D7" s="89"/>
      <c r="E7" s="89"/>
      <c r="F7" s="91"/>
      <c r="G7" s="91"/>
      <c r="H7" s="91"/>
      <c r="I7" s="91"/>
      <c r="J7" s="93"/>
    </row>
    <row r="8" spans="1:10" ht="21" x14ac:dyDescent="0.55000000000000004">
      <c r="A8" s="88" t="s">
        <v>8</v>
      </c>
      <c r="B8" s="89"/>
      <c r="C8" s="89"/>
      <c r="D8" s="89"/>
      <c r="E8" s="89"/>
      <c r="F8" s="91"/>
      <c r="G8" s="91"/>
      <c r="H8" s="91"/>
      <c r="I8" s="91"/>
      <c r="J8" s="93" t="s">
        <v>9</v>
      </c>
    </row>
    <row r="9" spans="1:10" ht="21" x14ac:dyDescent="0.55000000000000004">
      <c r="A9" s="115" t="s">
        <v>10</v>
      </c>
      <c r="B9" s="116" t="s">
        <v>11</v>
      </c>
      <c r="C9" s="89"/>
      <c r="D9" s="89"/>
      <c r="E9" s="89"/>
      <c r="F9" s="91"/>
      <c r="G9" s="91"/>
      <c r="H9" s="91"/>
      <c r="I9" s="91"/>
      <c r="J9" s="93" t="s">
        <v>12</v>
      </c>
    </row>
    <row r="10" spans="1:10" ht="21" x14ac:dyDescent="0.55000000000000004">
      <c r="A10" s="115" t="s">
        <v>13</v>
      </c>
      <c r="B10" s="116" t="s">
        <v>14</v>
      </c>
      <c r="C10" s="89"/>
      <c r="D10" s="89"/>
      <c r="E10" s="89"/>
      <c r="F10" s="91"/>
      <c r="G10" s="91"/>
      <c r="H10" s="91"/>
      <c r="I10" s="91"/>
      <c r="J10" s="94"/>
    </row>
    <row r="11" spans="1:10" x14ac:dyDescent="0.45">
      <c r="A11" s="89"/>
      <c r="B11" s="89"/>
      <c r="C11" s="89"/>
      <c r="D11" s="89"/>
      <c r="E11" s="89"/>
      <c r="F11" s="91"/>
      <c r="G11" s="91"/>
      <c r="H11" s="91"/>
      <c r="I11" s="91"/>
    </row>
    <row r="12" spans="1:10" x14ac:dyDescent="0.45">
      <c r="A12" s="88" t="s">
        <v>15</v>
      </c>
      <c r="B12" s="95"/>
      <c r="C12" s="89"/>
      <c r="D12" s="89"/>
      <c r="E12" s="89"/>
      <c r="F12" s="91"/>
      <c r="G12" s="91"/>
      <c r="H12" s="91"/>
      <c r="I12" s="91"/>
      <c r="J12" s="136"/>
    </row>
    <row r="13" spans="1:10" x14ac:dyDescent="0.45">
      <c r="A13" s="115" t="s">
        <v>16</v>
      </c>
      <c r="B13" s="116" t="s">
        <v>17</v>
      </c>
      <c r="C13" s="89"/>
      <c r="D13" s="115" t="s">
        <v>18</v>
      </c>
      <c r="E13" s="116" t="s">
        <v>17</v>
      </c>
      <c r="F13" s="91"/>
      <c r="G13" s="91"/>
      <c r="H13" s="91"/>
      <c r="I13" s="91"/>
    </row>
    <row r="14" spans="1:10" x14ac:dyDescent="0.45">
      <c r="A14" s="115" t="s">
        <v>19</v>
      </c>
      <c r="B14" s="116" t="s">
        <v>17</v>
      </c>
      <c r="C14" s="89"/>
      <c r="D14" s="115" t="s">
        <v>20</v>
      </c>
      <c r="E14" s="116" t="s">
        <v>17</v>
      </c>
      <c r="F14" s="91"/>
      <c r="G14" s="91"/>
      <c r="H14" s="91"/>
      <c r="I14" s="91"/>
    </row>
    <row r="15" spans="1:10" x14ac:dyDescent="0.45">
      <c r="A15" s="89"/>
      <c r="B15" s="89"/>
      <c r="C15" s="89"/>
      <c r="D15" s="89"/>
      <c r="E15" s="89"/>
      <c r="F15" s="91"/>
      <c r="G15" s="91"/>
      <c r="H15" s="91"/>
      <c r="I15" s="91"/>
    </row>
    <row r="16" spans="1:10" x14ac:dyDescent="0.45">
      <c r="A16" s="89"/>
      <c r="B16" s="89"/>
      <c r="C16" s="89"/>
      <c r="D16" s="89"/>
      <c r="E16" s="89"/>
      <c r="F16" s="91"/>
      <c r="G16" s="91"/>
      <c r="H16" s="91"/>
      <c r="I16" s="91"/>
    </row>
    <row r="17" spans="1:9" x14ac:dyDescent="0.45">
      <c r="A17" s="89"/>
      <c r="B17" s="89"/>
      <c r="C17" s="89"/>
      <c r="D17" s="89"/>
      <c r="E17" s="89"/>
      <c r="F17" s="91"/>
      <c r="G17" s="91"/>
      <c r="H17" s="91"/>
      <c r="I17" s="91"/>
    </row>
    <row r="18" spans="1:9" x14ac:dyDescent="0.45">
      <c r="A18" s="89"/>
      <c r="B18" s="96" t="s">
        <v>21</v>
      </c>
      <c r="C18" s="97" t="s">
        <v>22</v>
      </c>
      <c r="D18" s="98" t="s">
        <v>23</v>
      </c>
      <c r="E18" s="98" t="s">
        <v>24</v>
      </c>
      <c r="F18" s="98" t="s">
        <v>25</v>
      </c>
      <c r="G18" s="98" t="s">
        <v>55</v>
      </c>
      <c r="H18" s="98" t="s">
        <v>53</v>
      </c>
      <c r="I18" s="98" t="s">
        <v>54</v>
      </c>
    </row>
    <row r="19" spans="1:9" x14ac:dyDescent="0.45">
      <c r="A19" s="19"/>
      <c r="B19" s="20"/>
      <c r="C19" s="20"/>
      <c r="D19" s="99" t="e">
        <f>B72</f>
        <v>#DIV/0!</v>
      </c>
      <c r="E19" s="100" t="e">
        <f>C72</f>
        <v>#DIV/0!</v>
      </c>
      <c r="F19" s="101" t="e">
        <f>IF(AND(B19&lt;D19,C19&lt;E19),"Blue",(IF(AND(B19&lt;D19,C19&gt;E19),"Red",(IF(AND(B19&gt;D19,C19&gt;E19),"Green",(IF(AND(B19&gt;D19,C19&lt;E19),"Yellow")))))))</f>
        <v>#DIV/0!</v>
      </c>
      <c r="G19" s="108"/>
      <c r="H19" s="108"/>
      <c r="I19" s="108"/>
    </row>
    <row r="20" spans="1:9" x14ac:dyDescent="0.45">
      <c r="A20" s="19"/>
      <c r="B20" s="20"/>
      <c r="C20" s="20"/>
      <c r="D20" s="99" t="e">
        <f>B72</f>
        <v>#DIV/0!</v>
      </c>
      <c r="E20" s="100" t="e">
        <f>C72</f>
        <v>#DIV/0!</v>
      </c>
      <c r="F20" s="101" t="e">
        <f t="shared" ref="F20:F68" si="0">IF(AND(B20&lt;D20,C20&lt;E20),"Blue",(IF(AND(B20&lt;D20,C20&gt;E20),"Red",(IF(AND(B20&gt;D20,C20&gt;E20),"Green",(IF(AND(B20&gt;D20,C20&lt;E20),"Yellow")))))))</f>
        <v>#DIV/0!</v>
      </c>
      <c r="G20" s="108"/>
      <c r="H20" s="108"/>
      <c r="I20" s="108"/>
    </row>
    <row r="21" spans="1:9" x14ac:dyDescent="0.45">
      <c r="A21" s="19"/>
      <c r="B21" s="20"/>
      <c r="C21" s="20"/>
      <c r="D21" s="99" t="e">
        <f>B72</f>
        <v>#DIV/0!</v>
      </c>
      <c r="E21" s="100" t="e">
        <f>C72</f>
        <v>#DIV/0!</v>
      </c>
      <c r="F21" s="101" t="e">
        <f t="shared" si="0"/>
        <v>#DIV/0!</v>
      </c>
      <c r="G21" s="108"/>
      <c r="H21" s="108"/>
      <c r="I21" s="108"/>
    </row>
    <row r="22" spans="1:9" x14ac:dyDescent="0.45">
      <c r="A22" s="19"/>
      <c r="B22" s="20"/>
      <c r="C22" s="20"/>
      <c r="D22" s="99" t="e">
        <f>B72</f>
        <v>#DIV/0!</v>
      </c>
      <c r="E22" s="100" t="e">
        <f>C72</f>
        <v>#DIV/0!</v>
      </c>
      <c r="F22" s="101" t="e">
        <f t="shared" si="0"/>
        <v>#DIV/0!</v>
      </c>
      <c r="G22" s="108"/>
      <c r="H22" s="108"/>
      <c r="I22" s="108"/>
    </row>
    <row r="23" spans="1:9" x14ac:dyDescent="0.45">
      <c r="A23" s="19"/>
      <c r="B23" s="20"/>
      <c r="C23" s="20"/>
      <c r="D23" s="99" t="e">
        <f>B72</f>
        <v>#DIV/0!</v>
      </c>
      <c r="E23" s="100" t="e">
        <f>C72</f>
        <v>#DIV/0!</v>
      </c>
      <c r="F23" s="101" t="e">
        <f>IF(AND(B23&lt;D23,C23&lt;E23),"Blue",(IF(AND(B23&lt;D23,C23&gt;E23),"Red",(IF(AND(B23&gt;D23,C23&gt;E23),"Green",(IF(AND(B23&gt;D23,C23&lt;E23),"Yellow")))))))</f>
        <v>#DIV/0!</v>
      </c>
      <c r="G23" s="108"/>
      <c r="H23" s="108"/>
      <c r="I23" s="108"/>
    </row>
    <row r="24" spans="1:9" x14ac:dyDescent="0.45">
      <c r="A24" s="19"/>
      <c r="B24" s="20"/>
      <c r="C24" s="20"/>
      <c r="D24" s="99" t="e">
        <f>B72</f>
        <v>#DIV/0!</v>
      </c>
      <c r="E24" s="100" t="e">
        <f>C72</f>
        <v>#DIV/0!</v>
      </c>
      <c r="F24" s="101" t="e">
        <f t="shared" si="0"/>
        <v>#DIV/0!</v>
      </c>
      <c r="G24" s="108"/>
      <c r="H24" s="108"/>
      <c r="I24" s="108"/>
    </row>
    <row r="25" spans="1:9" x14ac:dyDescent="0.45">
      <c r="A25" s="19"/>
      <c r="B25" s="20"/>
      <c r="C25" s="20"/>
      <c r="D25" s="99" t="e">
        <f>B72</f>
        <v>#DIV/0!</v>
      </c>
      <c r="E25" s="100" t="e">
        <f>C72</f>
        <v>#DIV/0!</v>
      </c>
      <c r="F25" s="101" t="e">
        <f t="shared" si="0"/>
        <v>#DIV/0!</v>
      </c>
      <c r="G25" s="108"/>
      <c r="H25" s="108"/>
      <c r="I25" s="108"/>
    </row>
    <row r="26" spans="1:9" x14ac:dyDescent="0.45">
      <c r="A26" s="19"/>
      <c r="B26" s="20"/>
      <c r="C26" s="20"/>
      <c r="D26" s="99" t="e">
        <f>B72</f>
        <v>#DIV/0!</v>
      </c>
      <c r="E26" s="100" t="e">
        <f>C72</f>
        <v>#DIV/0!</v>
      </c>
      <c r="F26" s="101" t="e">
        <f t="shared" si="0"/>
        <v>#DIV/0!</v>
      </c>
      <c r="G26" s="108"/>
      <c r="H26" s="108"/>
      <c r="I26" s="108"/>
    </row>
    <row r="27" spans="1:9" x14ac:dyDescent="0.45">
      <c r="A27" s="19"/>
      <c r="B27" s="20"/>
      <c r="C27" s="20"/>
      <c r="D27" s="99" t="e">
        <f>B72</f>
        <v>#DIV/0!</v>
      </c>
      <c r="E27" s="100" t="e">
        <f>C72</f>
        <v>#DIV/0!</v>
      </c>
      <c r="F27" s="101" t="e">
        <f t="shared" si="0"/>
        <v>#DIV/0!</v>
      </c>
      <c r="G27" s="108"/>
      <c r="H27" s="108"/>
      <c r="I27" s="108"/>
    </row>
    <row r="28" spans="1:9" x14ac:dyDescent="0.45">
      <c r="A28" s="19"/>
      <c r="B28" s="20"/>
      <c r="C28" s="20"/>
      <c r="D28" s="99" t="e">
        <f>B72</f>
        <v>#DIV/0!</v>
      </c>
      <c r="E28" s="100" t="e">
        <f>C72</f>
        <v>#DIV/0!</v>
      </c>
      <c r="F28" s="101" t="e">
        <f t="shared" si="0"/>
        <v>#DIV/0!</v>
      </c>
      <c r="G28" s="108"/>
      <c r="H28" s="108"/>
      <c r="I28" s="108"/>
    </row>
    <row r="29" spans="1:9" x14ac:dyDescent="0.45">
      <c r="A29" s="19"/>
      <c r="B29" s="20"/>
      <c r="C29" s="20"/>
      <c r="D29" s="99" t="e">
        <f>B72</f>
        <v>#DIV/0!</v>
      </c>
      <c r="E29" s="100" t="e">
        <f>C72</f>
        <v>#DIV/0!</v>
      </c>
      <c r="F29" s="101" t="e">
        <f t="shared" si="0"/>
        <v>#DIV/0!</v>
      </c>
      <c r="G29" s="108"/>
      <c r="H29" s="108"/>
      <c r="I29" s="108"/>
    </row>
    <row r="30" spans="1:9" x14ac:dyDescent="0.45">
      <c r="A30" s="19"/>
      <c r="B30" s="20"/>
      <c r="C30" s="20"/>
      <c r="D30" s="99" t="e">
        <f>B72</f>
        <v>#DIV/0!</v>
      </c>
      <c r="E30" s="100" t="e">
        <f>C72</f>
        <v>#DIV/0!</v>
      </c>
      <c r="F30" s="101" t="e">
        <f t="shared" si="0"/>
        <v>#DIV/0!</v>
      </c>
      <c r="G30" s="108"/>
      <c r="H30" s="108"/>
      <c r="I30" s="108"/>
    </row>
    <row r="31" spans="1:9" x14ac:dyDescent="0.45">
      <c r="A31" s="19"/>
      <c r="B31" s="20"/>
      <c r="C31" s="20"/>
      <c r="D31" s="99" t="e">
        <f>B72</f>
        <v>#DIV/0!</v>
      </c>
      <c r="E31" s="100" t="e">
        <f>C72</f>
        <v>#DIV/0!</v>
      </c>
      <c r="F31" s="101" t="e">
        <f t="shared" si="0"/>
        <v>#DIV/0!</v>
      </c>
      <c r="G31" s="108"/>
      <c r="H31" s="108"/>
      <c r="I31" s="108"/>
    </row>
    <row r="32" spans="1:9" x14ac:dyDescent="0.45">
      <c r="A32" s="19"/>
      <c r="B32" s="20"/>
      <c r="C32" s="20"/>
      <c r="D32" s="99" t="e">
        <f>B72</f>
        <v>#DIV/0!</v>
      </c>
      <c r="E32" s="100" t="e">
        <f>C72</f>
        <v>#DIV/0!</v>
      </c>
      <c r="F32" s="101" t="e">
        <f t="shared" si="0"/>
        <v>#DIV/0!</v>
      </c>
      <c r="G32" s="108"/>
      <c r="H32" s="108"/>
      <c r="I32" s="108"/>
    </row>
    <row r="33" spans="1:9" x14ac:dyDescent="0.45">
      <c r="A33" s="19"/>
      <c r="B33" s="20"/>
      <c r="C33" s="20"/>
      <c r="D33" s="99" t="e">
        <f>B72</f>
        <v>#DIV/0!</v>
      </c>
      <c r="E33" s="100" t="e">
        <f>C72</f>
        <v>#DIV/0!</v>
      </c>
      <c r="F33" s="101" t="e">
        <f t="shared" si="0"/>
        <v>#DIV/0!</v>
      </c>
      <c r="G33" s="108"/>
      <c r="H33" s="108"/>
      <c r="I33" s="108"/>
    </row>
    <row r="34" spans="1:9" x14ac:dyDescent="0.45">
      <c r="A34" s="19"/>
      <c r="B34" s="20"/>
      <c r="C34" s="20"/>
      <c r="D34" s="99" t="e">
        <f>B72</f>
        <v>#DIV/0!</v>
      </c>
      <c r="E34" s="100" t="e">
        <f>C72</f>
        <v>#DIV/0!</v>
      </c>
      <c r="F34" s="101" t="e">
        <f t="shared" si="0"/>
        <v>#DIV/0!</v>
      </c>
      <c r="G34" s="108"/>
      <c r="H34" s="108"/>
      <c r="I34" s="108"/>
    </row>
    <row r="35" spans="1:9" x14ac:dyDescent="0.45">
      <c r="A35" s="19"/>
      <c r="B35" s="20"/>
      <c r="C35" s="20"/>
      <c r="D35" s="99" t="e">
        <f>B72</f>
        <v>#DIV/0!</v>
      </c>
      <c r="E35" s="100" t="e">
        <f>C72</f>
        <v>#DIV/0!</v>
      </c>
      <c r="F35" s="101" t="e">
        <f t="shared" si="0"/>
        <v>#DIV/0!</v>
      </c>
      <c r="G35" s="108"/>
      <c r="H35" s="108"/>
      <c r="I35" s="108"/>
    </row>
    <row r="36" spans="1:9" x14ac:dyDescent="0.45">
      <c r="A36" s="19"/>
      <c r="B36" s="20"/>
      <c r="C36" s="20"/>
      <c r="D36" s="99" t="e">
        <f>B72</f>
        <v>#DIV/0!</v>
      </c>
      <c r="E36" s="100" t="e">
        <f>C72</f>
        <v>#DIV/0!</v>
      </c>
      <c r="F36" s="101" t="e">
        <f t="shared" si="0"/>
        <v>#DIV/0!</v>
      </c>
      <c r="G36" s="108"/>
      <c r="H36" s="108"/>
      <c r="I36" s="108"/>
    </row>
    <row r="37" spans="1:9" x14ac:dyDescent="0.45">
      <c r="A37" s="19"/>
      <c r="B37" s="20"/>
      <c r="C37" s="20"/>
      <c r="D37" s="99" t="e">
        <f>B72</f>
        <v>#DIV/0!</v>
      </c>
      <c r="E37" s="100" t="e">
        <f>C72</f>
        <v>#DIV/0!</v>
      </c>
      <c r="F37" s="101" t="e">
        <f t="shared" si="0"/>
        <v>#DIV/0!</v>
      </c>
      <c r="G37" s="108"/>
      <c r="H37" s="108"/>
      <c r="I37" s="108"/>
    </row>
    <row r="38" spans="1:9" x14ac:dyDescent="0.45">
      <c r="A38" s="19"/>
      <c r="B38" s="20"/>
      <c r="C38" s="20"/>
      <c r="D38" s="99" t="e">
        <f>B72</f>
        <v>#DIV/0!</v>
      </c>
      <c r="E38" s="100" t="e">
        <f>C72</f>
        <v>#DIV/0!</v>
      </c>
      <c r="F38" s="101" t="e">
        <f t="shared" si="0"/>
        <v>#DIV/0!</v>
      </c>
      <c r="G38" s="108"/>
      <c r="H38" s="108"/>
      <c r="I38" s="108"/>
    </row>
    <row r="39" spans="1:9" x14ac:dyDescent="0.45">
      <c r="A39" s="19"/>
      <c r="B39" s="20"/>
      <c r="C39" s="20"/>
      <c r="D39" s="99" t="e">
        <f>B72</f>
        <v>#DIV/0!</v>
      </c>
      <c r="E39" s="100" t="e">
        <f>C72</f>
        <v>#DIV/0!</v>
      </c>
      <c r="F39" s="101" t="e">
        <f t="shared" si="0"/>
        <v>#DIV/0!</v>
      </c>
      <c r="G39" s="108"/>
      <c r="H39" s="108"/>
      <c r="I39" s="108"/>
    </row>
    <row r="40" spans="1:9" x14ac:dyDescent="0.45">
      <c r="A40" s="19"/>
      <c r="B40" s="20"/>
      <c r="C40" s="20"/>
      <c r="D40" s="99" t="e">
        <f>B72</f>
        <v>#DIV/0!</v>
      </c>
      <c r="E40" s="100" t="e">
        <f>C72</f>
        <v>#DIV/0!</v>
      </c>
      <c r="F40" s="101" t="e">
        <f t="shared" si="0"/>
        <v>#DIV/0!</v>
      </c>
      <c r="G40" s="108"/>
      <c r="H40" s="108"/>
      <c r="I40" s="108"/>
    </row>
    <row r="41" spans="1:9" x14ac:dyDescent="0.45">
      <c r="A41" s="19"/>
      <c r="B41" s="20"/>
      <c r="C41" s="20"/>
      <c r="D41" s="99" t="e">
        <f>B72</f>
        <v>#DIV/0!</v>
      </c>
      <c r="E41" s="100" t="e">
        <f>C72</f>
        <v>#DIV/0!</v>
      </c>
      <c r="F41" s="101" t="e">
        <f t="shared" si="0"/>
        <v>#DIV/0!</v>
      </c>
      <c r="G41" s="108"/>
      <c r="H41" s="108"/>
      <c r="I41" s="108"/>
    </row>
    <row r="42" spans="1:9" x14ac:dyDescent="0.45">
      <c r="A42" s="19"/>
      <c r="B42" s="20"/>
      <c r="C42" s="20"/>
      <c r="D42" s="99" t="e">
        <f>B72</f>
        <v>#DIV/0!</v>
      </c>
      <c r="E42" s="100" t="e">
        <f>C72</f>
        <v>#DIV/0!</v>
      </c>
      <c r="F42" s="101" t="e">
        <f t="shared" si="0"/>
        <v>#DIV/0!</v>
      </c>
      <c r="G42" s="108"/>
      <c r="H42" s="108"/>
      <c r="I42" s="108"/>
    </row>
    <row r="43" spans="1:9" x14ac:dyDescent="0.45">
      <c r="A43" s="19"/>
      <c r="B43" s="20"/>
      <c r="C43" s="20"/>
      <c r="D43" s="99" t="e">
        <f>B72</f>
        <v>#DIV/0!</v>
      </c>
      <c r="E43" s="100" t="e">
        <f>C72</f>
        <v>#DIV/0!</v>
      </c>
      <c r="F43" s="101" t="e">
        <f t="shared" si="0"/>
        <v>#DIV/0!</v>
      </c>
      <c r="G43" s="108"/>
      <c r="H43" s="108"/>
      <c r="I43" s="108"/>
    </row>
    <row r="44" spans="1:9" x14ac:dyDescent="0.45">
      <c r="A44" s="19"/>
      <c r="B44" s="20"/>
      <c r="C44" s="20"/>
      <c r="D44" s="99" t="e">
        <f>B72</f>
        <v>#DIV/0!</v>
      </c>
      <c r="E44" s="100" t="e">
        <f>C72</f>
        <v>#DIV/0!</v>
      </c>
      <c r="F44" s="101" t="e">
        <f t="shared" si="0"/>
        <v>#DIV/0!</v>
      </c>
      <c r="G44" s="108"/>
      <c r="H44" s="108"/>
      <c r="I44" s="108"/>
    </row>
    <row r="45" spans="1:9" x14ac:dyDescent="0.45">
      <c r="A45" s="19"/>
      <c r="B45" s="20"/>
      <c r="C45" s="20"/>
      <c r="D45" s="99" t="e">
        <f>B72</f>
        <v>#DIV/0!</v>
      </c>
      <c r="E45" s="100" t="e">
        <f>C72</f>
        <v>#DIV/0!</v>
      </c>
      <c r="F45" s="101" t="e">
        <f t="shared" si="0"/>
        <v>#DIV/0!</v>
      </c>
      <c r="G45" s="108"/>
      <c r="H45" s="108"/>
      <c r="I45" s="108"/>
    </row>
    <row r="46" spans="1:9" x14ac:dyDescent="0.45">
      <c r="A46" s="19"/>
      <c r="B46" s="20"/>
      <c r="C46" s="20"/>
      <c r="D46" s="99" t="e">
        <f>B72</f>
        <v>#DIV/0!</v>
      </c>
      <c r="E46" s="100" t="e">
        <f>C72</f>
        <v>#DIV/0!</v>
      </c>
      <c r="F46" s="101" t="e">
        <f t="shared" si="0"/>
        <v>#DIV/0!</v>
      </c>
      <c r="G46" s="108"/>
      <c r="H46" s="108"/>
      <c r="I46" s="108"/>
    </row>
    <row r="47" spans="1:9" x14ac:dyDescent="0.45">
      <c r="A47" s="19"/>
      <c r="B47" s="20"/>
      <c r="C47" s="20"/>
      <c r="D47" s="99" t="e">
        <f>B72</f>
        <v>#DIV/0!</v>
      </c>
      <c r="E47" s="100" t="e">
        <f>C72</f>
        <v>#DIV/0!</v>
      </c>
      <c r="F47" s="101" t="e">
        <f t="shared" si="0"/>
        <v>#DIV/0!</v>
      </c>
      <c r="G47" s="108"/>
      <c r="H47" s="108"/>
      <c r="I47" s="108"/>
    </row>
    <row r="48" spans="1:9" x14ac:dyDescent="0.45">
      <c r="A48" s="19"/>
      <c r="B48" s="20"/>
      <c r="C48" s="20"/>
      <c r="D48" s="99" t="e">
        <f>B72</f>
        <v>#DIV/0!</v>
      </c>
      <c r="E48" s="100" t="e">
        <f>C72</f>
        <v>#DIV/0!</v>
      </c>
      <c r="F48" s="101" t="e">
        <f t="shared" si="0"/>
        <v>#DIV/0!</v>
      </c>
      <c r="G48" s="108"/>
      <c r="H48" s="108"/>
      <c r="I48" s="108"/>
    </row>
    <row r="49" spans="1:9" x14ac:dyDescent="0.45">
      <c r="A49" s="19"/>
      <c r="B49" s="20"/>
      <c r="C49" s="20"/>
      <c r="D49" s="99" t="e">
        <f>B72</f>
        <v>#DIV/0!</v>
      </c>
      <c r="E49" s="100" t="e">
        <f>C72</f>
        <v>#DIV/0!</v>
      </c>
      <c r="F49" s="101" t="e">
        <f t="shared" si="0"/>
        <v>#DIV/0!</v>
      </c>
      <c r="G49" s="108"/>
      <c r="H49" s="108"/>
      <c r="I49" s="108"/>
    </row>
    <row r="50" spans="1:9" x14ac:dyDescent="0.45">
      <c r="A50" s="19"/>
      <c r="B50" s="20"/>
      <c r="C50" s="20"/>
      <c r="D50" s="99" t="e">
        <f>B72</f>
        <v>#DIV/0!</v>
      </c>
      <c r="E50" s="100" t="e">
        <f>C72</f>
        <v>#DIV/0!</v>
      </c>
      <c r="F50" s="101" t="e">
        <f t="shared" si="0"/>
        <v>#DIV/0!</v>
      </c>
      <c r="G50" s="108"/>
      <c r="H50" s="108"/>
      <c r="I50" s="108"/>
    </row>
    <row r="51" spans="1:9" x14ac:dyDescent="0.45">
      <c r="A51" s="19"/>
      <c r="B51" s="20"/>
      <c r="C51" s="20"/>
      <c r="D51" s="99" t="e">
        <f>B72</f>
        <v>#DIV/0!</v>
      </c>
      <c r="E51" s="100" t="e">
        <f>C72</f>
        <v>#DIV/0!</v>
      </c>
      <c r="F51" s="101" t="e">
        <f t="shared" si="0"/>
        <v>#DIV/0!</v>
      </c>
      <c r="G51" s="108"/>
      <c r="H51" s="108"/>
      <c r="I51" s="108"/>
    </row>
    <row r="52" spans="1:9" x14ac:dyDescent="0.45">
      <c r="A52" s="19"/>
      <c r="B52" s="20"/>
      <c r="C52" s="20"/>
      <c r="D52" s="99" t="e">
        <f>B72</f>
        <v>#DIV/0!</v>
      </c>
      <c r="E52" s="100" t="e">
        <f>C72</f>
        <v>#DIV/0!</v>
      </c>
      <c r="F52" s="101" t="e">
        <f t="shared" si="0"/>
        <v>#DIV/0!</v>
      </c>
      <c r="G52" s="108"/>
      <c r="H52" s="108"/>
      <c r="I52" s="108"/>
    </row>
    <row r="53" spans="1:9" x14ac:dyDescent="0.45">
      <c r="A53" s="19"/>
      <c r="B53" s="20"/>
      <c r="C53" s="20"/>
      <c r="D53" s="99" t="e">
        <f>B72</f>
        <v>#DIV/0!</v>
      </c>
      <c r="E53" s="100" t="e">
        <f>C72</f>
        <v>#DIV/0!</v>
      </c>
      <c r="F53" s="101" t="e">
        <f t="shared" si="0"/>
        <v>#DIV/0!</v>
      </c>
      <c r="G53" s="108"/>
      <c r="H53" s="108"/>
      <c r="I53" s="108"/>
    </row>
    <row r="54" spans="1:9" x14ac:dyDescent="0.45">
      <c r="A54" s="102"/>
      <c r="B54" s="103"/>
      <c r="C54" s="104"/>
      <c r="D54" s="99" t="e">
        <f>B72</f>
        <v>#DIV/0!</v>
      </c>
      <c r="E54" s="100" t="e">
        <f>C72</f>
        <v>#DIV/0!</v>
      </c>
      <c r="F54" s="101" t="e">
        <f t="shared" si="0"/>
        <v>#DIV/0!</v>
      </c>
      <c r="G54" s="108"/>
      <c r="H54" s="108"/>
      <c r="I54" s="108"/>
    </row>
    <row r="55" spans="1:9" x14ac:dyDescent="0.45">
      <c r="A55" s="102"/>
      <c r="B55" s="103"/>
      <c r="C55" s="104"/>
      <c r="D55" s="99" t="e">
        <f>B72</f>
        <v>#DIV/0!</v>
      </c>
      <c r="E55" s="100" t="e">
        <f>C72</f>
        <v>#DIV/0!</v>
      </c>
      <c r="F55" s="101" t="e">
        <f t="shared" si="0"/>
        <v>#DIV/0!</v>
      </c>
      <c r="G55" s="108"/>
      <c r="H55" s="108"/>
      <c r="I55" s="108"/>
    </row>
    <row r="56" spans="1:9" x14ac:dyDescent="0.45">
      <c r="A56" s="102"/>
      <c r="B56" s="103"/>
      <c r="C56" s="104"/>
      <c r="D56" s="99" t="e">
        <f>B72</f>
        <v>#DIV/0!</v>
      </c>
      <c r="E56" s="100" t="e">
        <f>C72</f>
        <v>#DIV/0!</v>
      </c>
      <c r="F56" s="101" t="e">
        <f t="shared" si="0"/>
        <v>#DIV/0!</v>
      </c>
      <c r="G56" s="108"/>
      <c r="H56" s="108"/>
      <c r="I56" s="108"/>
    </row>
    <row r="57" spans="1:9" x14ac:dyDescent="0.45">
      <c r="A57" s="102"/>
      <c r="B57" s="103"/>
      <c r="C57" s="104"/>
      <c r="D57" s="99" t="e">
        <f>B72</f>
        <v>#DIV/0!</v>
      </c>
      <c r="E57" s="100" t="e">
        <f>C72</f>
        <v>#DIV/0!</v>
      </c>
      <c r="F57" s="101" t="e">
        <f t="shared" si="0"/>
        <v>#DIV/0!</v>
      </c>
      <c r="G57" s="108"/>
      <c r="H57" s="108"/>
      <c r="I57" s="108"/>
    </row>
    <row r="58" spans="1:9" x14ac:dyDescent="0.45">
      <c r="A58" s="102"/>
      <c r="B58" s="103"/>
      <c r="C58" s="104"/>
      <c r="D58" s="99" t="e">
        <f>B72</f>
        <v>#DIV/0!</v>
      </c>
      <c r="E58" s="100" t="e">
        <f>C72</f>
        <v>#DIV/0!</v>
      </c>
      <c r="F58" s="101" t="e">
        <f t="shared" si="0"/>
        <v>#DIV/0!</v>
      </c>
      <c r="G58" s="108"/>
      <c r="H58" s="108"/>
      <c r="I58" s="108"/>
    </row>
    <row r="59" spans="1:9" x14ac:dyDescent="0.45">
      <c r="A59" s="102"/>
      <c r="B59" s="103"/>
      <c r="C59" s="104"/>
      <c r="D59" s="99" t="e">
        <f>B72</f>
        <v>#DIV/0!</v>
      </c>
      <c r="E59" s="100" t="e">
        <f>C72</f>
        <v>#DIV/0!</v>
      </c>
      <c r="F59" s="101" t="e">
        <f t="shared" si="0"/>
        <v>#DIV/0!</v>
      </c>
      <c r="G59" s="108"/>
      <c r="H59" s="108"/>
      <c r="I59" s="108"/>
    </row>
    <row r="60" spans="1:9" x14ac:dyDescent="0.45">
      <c r="A60" s="102"/>
      <c r="B60" s="103"/>
      <c r="C60" s="104"/>
      <c r="D60" s="99" t="e">
        <f>B72</f>
        <v>#DIV/0!</v>
      </c>
      <c r="E60" s="100" t="e">
        <f>C72</f>
        <v>#DIV/0!</v>
      </c>
      <c r="F60" s="101" t="e">
        <f t="shared" si="0"/>
        <v>#DIV/0!</v>
      </c>
      <c r="G60" s="108"/>
      <c r="H60" s="108"/>
      <c r="I60" s="108"/>
    </row>
    <row r="61" spans="1:9" x14ac:dyDescent="0.45">
      <c r="A61" s="102"/>
      <c r="B61" s="103"/>
      <c r="C61" s="104"/>
      <c r="D61" s="99" t="e">
        <f>B72</f>
        <v>#DIV/0!</v>
      </c>
      <c r="E61" s="100" t="e">
        <f>C72</f>
        <v>#DIV/0!</v>
      </c>
      <c r="F61" s="101" t="e">
        <f t="shared" si="0"/>
        <v>#DIV/0!</v>
      </c>
      <c r="G61" s="108"/>
      <c r="H61" s="108"/>
      <c r="I61" s="108"/>
    </row>
    <row r="62" spans="1:9" x14ac:dyDescent="0.45">
      <c r="A62" s="102"/>
      <c r="B62" s="103"/>
      <c r="C62" s="104"/>
      <c r="D62" s="99" t="e">
        <f>B72</f>
        <v>#DIV/0!</v>
      </c>
      <c r="E62" s="100" t="e">
        <f>C72</f>
        <v>#DIV/0!</v>
      </c>
      <c r="F62" s="101" t="e">
        <f t="shared" si="0"/>
        <v>#DIV/0!</v>
      </c>
      <c r="G62" s="108"/>
      <c r="H62" s="108"/>
      <c r="I62" s="108"/>
    </row>
    <row r="63" spans="1:9" x14ac:dyDescent="0.45">
      <c r="A63" s="102"/>
      <c r="B63" s="103"/>
      <c r="C63" s="104"/>
      <c r="D63" s="99" t="e">
        <f>B72</f>
        <v>#DIV/0!</v>
      </c>
      <c r="E63" s="100" t="e">
        <f>C72</f>
        <v>#DIV/0!</v>
      </c>
      <c r="F63" s="101" t="e">
        <f t="shared" si="0"/>
        <v>#DIV/0!</v>
      </c>
      <c r="G63" s="108"/>
      <c r="H63" s="108"/>
      <c r="I63" s="108"/>
    </row>
    <row r="64" spans="1:9" x14ac:dyDescent="0.45">
      <c r="A64" s="102"/>
      <c r="B64" s="103"/>
      <c r="C64" s="104"/>
      <c r="D64" s="99" t="e">
        <f>B72</f>
        <v>#DIV/0!</v>
      </c>
      <c r="E64" s="100" t="e">
        <f>C72</f>
        <v>#DIV/0!</v>
      </c>
      <c r="F64" s="101" t="e">
        <f t="shared" si="0"/>
        <v>#DIV/0!</v>
      </c>
      <c r="G64" s="108"/>
      <c r="H64" s="108"/>
      <c r="I64" s="108"/>
    </row>
    <row r="65" spans="1:9" x14ac:dyDescent="0.45">
      <c r="A65" s="102"/>
      <c r="B65" s="103"/>
      <c r="C65" s="104"/>
      <c r="D65" s="99" t="e">
        <f>B72</f>
        <v>#DIV/0!</v>
      </c>
      <c r="E65" s="100" t="e">
        <f>C72</f>
        <v>#DIV/0!</v>
      </c>
      <c r="F65" s="101" t="e">
        <f t="shared" si="0"/>
        <v>#DIV/0!</v>
      </c>
      <c r="G65" s="108"/>
      <c r="H65" s="108"/>
      <c r="I65" s="108"/>
    </row>
    <row r="66" spans="1:9" x14ac:dyDescent="0.45">
      <c r="A66" s="102"/>
      <c r="B66" s="103"/>
      <c r="C66" s="104"/>
      <c r="D66" s="99" t="e">
        <f>B72</f>
        <v>#DIV/0!</v>
      </c>
      <c r="E66" s="100" t="e">
        <f>C72</f>
        <v>#DIV/0!</v>
      </c>
      <c r="F66" s="101" t="e">
        <f t="shared" si="0"/>
        <v>#DIV/0!</v>
      </c>
      <c r="G66" s="108"/>
      <c r="H66" s="108"/>
      <c r="I66" s="108"/>
    </row>
    <row r="67" spans="1:9" x14ac:dyDescent="0.45">
      <c r="A67" s="102"/>
      <c r="B67" s="103"/>
      <c r="C67" s="104"/>
      <c r="D67" s="99" t="e">
        <f>B72</f>
        <v>#DIV/0!</v>
      </c>
      <c r="E67" s="100" t="e">
        <f>C72</f>
        <v>#DIV/0!</v>
      </c>
      <c r="F67" s="101" t="e">
        <f t="shared" si="0"/>
        <v>#DIV/0!</v>
      </c>
      <c r="G67" s="108"/>
      <c r="H67" s="108"/>
      <c r="I67" s="108"/>
    </row>
    <row r="68" spans="1:9" x14ac:dyDescent="0.45">
      <c r="A68" s="102"/>
      <c r="B68" s="103"/>
      <c r="C68" s="104"/>
      <c r="D68" s="99" t="e">
        <f>B72</f>
        <v>#DIV/0!</v>
      </c>
      <c r="E68" s="100" t="e">
        <f>C72</f>
        <v>#DIV/0!</v>
      </c>
      <c r="F68" s="101" t="e">
        <f t="shared" si="0"/>
        <v>#DIV/0!</v>
      </c>
      <c r="G68" s="108"/>
      <c r="H68" s="108"/>
      <c r="I68" s="108"/>
    </row>
    <row r="69" spans="1:9" x14ac:dyDescent="0.45">
      <c r="A69" s="105"/>
      <c r="B69" s="106"/>
      <c r="C69" s="107"/>
      <c r="D69" s="99"/>
      <c r="E69" s="100"/>
      <c r="F69" s="108"/>
      <c r="G69" s="108"/>
      <c r="H69" s="108"/>
      <c r="I69" s="108"/>
    </row>
    <row r="70" spans="1:9" x14ac:dyDescent="0.45">
      <c r="A70" s="105"/>
      <c r="B70" s="106"/>
      <c r="C70" s="107"/>
      <c r="D70" s="99"/>
      <c r="E70" s="100"/>
      <c r="F70" s="108"/>
      <c r="G70" s="108"/>
      <c r="H70" s="108"/>
      <c r="I70" s="108"/>
    </row>
    <row r="71" spans="1:9" x14ac:dyDescent="0.45">
      <c r="A71" s="105"/>
      <c r="B71" s="106"/>
      <c r="C71" s="107"/>
      <c r="D71" s="99"/>
      <c r="E71" s="100"/>
      <c r="F71" s="108"/>
      <c r="G71" s="108"/>
      <c r="H71" s="108"/>
      <c r="I71" s="108"/>
    </row>
    <row r="72" spans="1:9" x14ac:dyDescent="0.45">
      <c r="A72" s="109" t="s">
        <v>26</v>
      </c>
      <c r="B72" s="110" t="e">
        <f>AVERAGE(B19:B68)</f>
        <v>#DIV/0!</v>
      </c>
      <c r="C72" s="110" t="e">
        <f>AVERAGE(C19:C68)</f>
        <v>#DIV/0!</v>
      </c>
      <c r="D72" s="99"/>
      <c r="E72" s="100"/>
    </row>
    <row r="73" spans="1:9" x14ac:dyDescent="0.45">
      <c r="A73" s="109" t="s">
        <v>27</v>
      </c>
      <c r="B73" s="110" t="e">
        <f>B72-1.1*(MAX(MAX(B19:B68)-B72,B72-MIN(B19:B68)))</f>
        <v>#DIV/0!</v>
      </c>
      <c r="C73" s="110" t="e">
        <f>C72-1.18*(MAX(MAX(C19:C68)-C72,C72-MIN(C19:C68)))</f>
        <v>#DIV/0!</v>
      </c>
      <c r="D73" s="99"/>
    </row>
    <row r="74" spans="1:9" x14ac:dyDescent="0.45">
      <c r="A74" s="109" t="s">
        <v>28</v>
      </c>
      <c r="B74" s="110" t="e">
        <f>B72+1.1*(MAX(MAX(B19:B68)-B72,B72-MIN(B19:B68)))</f>
        <v>#DIV/0!</v>
      </c>
      <c r="C74" s="110" t="e">
        <f>C72+1.18*(MAX(MAX(C19:C68)-C72,C72-MIN(C19:C68)))</f>
        <v>#DIV/0!</v>
      </c>
      <c r="D74" s="99"/>
    </row>
    <row r="75" spans="1:9" x14ac:dyDescent="0.45">
      <c r="D75" s="99"/>
    </row>
    <row r="76" spans="1:9" x14ac:dyDescent="0.45">
      <c r="B76" s="89"/>
      <c r="C76" s="89"/>
      <c r="D76" s="89"/>
    </row>
    <row r="77" spans="1:9" x14ac:dyDescent="0.45">
      <c r="B77" s="89"/>
      <c r="C77" s="89"/>
      <c r="D77" s="89"/>
    </row>
    <row r="78" spans="1:9" x14ac:dyDescent="0.45">
      <c r="D78" s="99"/>
    </row>
    <row r="79" spans="1:9" x14ac:dyDescent="0.45">
      <c r="D79" s="99"/>
    </row>
    <row r="80" spans="1:9" x14ac:dyDescent="0.45">
      <c r="D80" s="99"/>
    </row>
    <row r="81" spans="4:4" x14ac:dyDescent="0.45">
      <c r="D81" s="99"/>
    </row>
    <row r="82" spans="4:4" x14ac:dyDescent="0.45">
      <c r="D82" s="99"/>
    </row>
    <row r="83" spans="4:4" x14ac:dyDescent="0.45">
      <c r="D83" s="9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9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9B22A-351C-4B5B-868C-A3135E3FD511}">
  <sheetPr codeName="Sheet4"/>
  <dimension ref="A1:J83"/>
  <sheetViews>
    <sheetView zoomScale="85" zoomScaleNormal="85" workbookViewId="0"/>
  </sheetViews>
  <sheetFormatPr defaultColWidth="8.75" defaultRowHeight="16.5" x14ac:dyDescent="0.45"/>
  <cols>
    <col min="1" max="1" width="38.25" customWidth="1"/>
    <col min="4" max="9" width="15.58203125" customWidth="1"/>
    <col min="10" max="10" width="158.33203125" customWidth="1"/>
    <col min="12" max="12" width="147.33203125" customWidth="1"/>
  </cols>
  <sheetData>
    <row r="1" spans="1:10" x14ac:dyDescent="0.45">
      <c r="A1" s="88" t="s">
        <v>0</v>
      </c>
      <c r="B1" s="89"/>
      <c r="C1" s="89"/>
      <c r="D1" s="89"/>
      <c r="E1" s="90"/>
      <c r="F1" s="91"/>
      <c r="G1" s="91"/>
      <c r="H1" s="91"/>
      <c r="I1" s="91"/>
    </row>
    <row r="2" spans="1:10" x14ac:dyDescent="0.45">
      <c r="A2" s="92"/>
      <c r="B2" s="89"/>
      <c r="C2" s="89"/>
      <c r="D2" s="89"/>
      <c r="E2" s="90"/>
      <c r="F2" s="91"/>
      <c r="G2" s="91"/>
      <c r="H2" s="91"/>
      <c r="I2" s="91"/>
    </row>
    <row r="3" spans="1:10" ht="21" x14ac:dyDescent="0.55000000000000004">
      <c r="A3" s="92" t="s">
        <v>1</v>
      </c>
      <c r="B3" s="89"/>
      <c r="C3" s="89"/>
      <c r="D3" s="89"/>
      <c r="E3" s="90"/>
      <c r="F3" s="91"/>
      <c r="G3" s="91"/>
      <c r="H3" s="91"/>
      <c r="I3" s="91"/>
      <c r="J3" s="93" t="s">
        <v>2</v>
      </c>
    </row>
    <row r="4" spans="1:10" ht="21" x14ac:dyDescent="0.55000000000000004">
      <c r="A4" s="92" t="s">
        <v>3</v>
      </c>
      <c r="B4" s="89"/>
      <c r="C4" s="89"/>
      <c r="D4" s="89"/>
      <c r="E4" s="89"/>
      <c r="F4" s="91"/>
      <c r="G4" s="91"/>
      <c r="H4" s="91"/>
      <c r="I4" s="91"/>
      <c r="J4" s="93" t="s">
        <v>4</v>
      </c>
    </row>
    <row r="5" spans="1:10" ht="21" x14ac:dyDescent="0.55000000000000004">
      <c r="A5" s="92"/>
      <c r="B5" s="89"/>
      <c r="C5" s="89"/>
      <c r="D5" s="89"/>
      <c r="E5" s="89"/>
      <c r="F5" s="91"/>
      <c r="G5" s="91"/>
      <c r="H5" s="91"/>
      <c r="I5" s="91"/>
      <c r="J5" s="93" t="s">
        <v>5</v>
      </c>
    </row>
    <row r="6" spans="1:10" ht="21" x14ac:dyDescent="0.55000000000000004">
      <c r="A6" s="92" t="s">
        <v>6</v>
      </c>
      <c r="B6" s="89"/>
      <c r="C6" s="89"/>
      <c r="D6" s="89"/>
      <c r="E6" s="89"/>
      <c r="F6" s="91"/>
      <c r="G6" s="91"/>
      <c r="H6" s="91"/>
      <c r="I6" s="91"/>
      <c r="J6" s="93" t="s">
        <v>7</v>
      </c>
    </row>
    <row r="7" spans="1:10" ht="21" x14ac:dyDescent="0.55000000000000004">
      <c r="A7" s="92"/>
      <c r="B7" s="89"/>
      <c r="C7" s="89"/>
      <c r="D7" s="89"/>
      <c r="E7" s="89"/>
      <c r="F7" s="91"/>
      <c r="G7" s="91"/>
      <c r="H7" s="91"/>
      <c r="I7" s="91"/>
      <c r="J7" s="93"/>
    </row>
    <row r="8" spans="1:10" ht="21" x14ac:dyDescent="0.55000000000000004">
      <c r="A8" s="88" t="s">
        <v>8</v>
      </c>
      <c r="B8" s="89"/>
      <c r="C8" s="89"/>
      <c r="D8" s="89"/>
      <c r="E8" s="89"/>
      <c r="F8" s="91"/>
      <c r="G8" s="91"/>
      <c r="H8" s="91"/>
      <c r="I8" s="91"/>
      <c r="J8" s="93" t="s">
        <v>9</v>
      </c>
    </row>
    <row r="9" spans="1:10" ht="21" x14ac:dyDescent="0.55000000000000004">
      <c r="A9" s="115" t="s">
        <v>10</v>
      </c>
      <c r="B9" s="116" t="s">
        <v>11</v>
      </c>
      <c r="C9" s="89"/>
      <c r="D9" s="89"/>
      <c r="E9" s="89"/>
      <c r="F9" s="91"/>
      <c r="G9" s="91"/>
      <c r="H9" s="91"/>
      <c r="I9" s="91"/>
      <c r="J9" s="94"/>
    </row>
    <row r="10" spans="1:10" ht="21" x14ac:dyDescent="0.55000000000000004">
      <c r="A10" s="115" t="s">
        <v>13</v>
      </c>
      <c r="B10" s="116" t="s">
        <v>14</v>
      </c>
      <c r="C10" s="89"/>
      <c r="D10" s="89"/>
      <c r="E10" s="89"/>
      <c r="F10" s="91"/>
      <c r="G10" s="91"/>
      <c r="H10" s="91"/>
      <c r="I10" s="91"/>
      <c r="J10" s="94"/>
    </row>
    <row r="11" spans="1:10" x14ac:dyDescent="0.45">
      <c r="A11" s="89"/>
      <c r="B11" s="89"/>
      <c r="C11" s="89"/>
      <c r="D11" s="89"/>
      <c r="E11" s="89"/>
      <c r="F11" s="91"/>
      <c r="G11" s="91"/>
      <c r="H11" s="91"/>
      <c r="I11" s="91"/>
    </row>
    <row r="12" spans="1:10" x14ac:dyDescent="0.45">
      <c r="A12" s="88" t="s">
        <v>15</v>
      </c>
      <c r="B12" s="95"/>
      <c r="C12" s="89"/>
      <c r="D12" s="89"/>
      <c r="E12" s="89"/>
      <c r="F12" s="91"/>
      <c r="G12" s="91"/>
      <c r="H12" s="91"/>
      <c r="I12" s="91"/>
    </row>
    <row r="13" spans="1:10" x14ac:dyDescent="0.45">
      <c r="A13" s="115" t="s">
        <v>16</v>
      </c>
      <c r="B13" s="116" t="s">
        <v>17</v>
      </c>
      <c r="C13" s="89"/>
      <c r="D13" s="115" t="s">
        <v>18</v>
      </c>
      <c r="E13" s="116" t="s">
        <v>17</v>
      </c>
      <c r="F13" s="91"/>
      <c r="G13" s="91"/>
      <c r="H13" s="91"/>
      <c r="I13" s="91"/>
    </row>
    <row r="14" spans="1:10" x14ac:dyDescent="0.45">
      <c r="A14" s="115" t="s">
        <v>19</v>
      </c>
      <c r="B14" s="116" t="s">
        <v>17</v>
      </c>
      <c r="C14" s="89"/>
      <c r="D14" s="115" t="s">
        <v>20</v>
      </c>
      <c r="E14" s="116" t="s">
        <v>17</v>
      </c>
      <c r="F14" s="91"/>
      <c r="G14" s="91"/>
      <c r="H14" s="91"/>
      <c r="I14" s="91"/>
    </row>
    <row r="15" spans="1:10" x14ac:dyDescent="0.45">
      <c r="A15" s="89"/>
      <c r="B15" s="89"/>
      <c r="C15" s="89"/>
      <c r="D15" s="89"/>
      <c r="E15" s="89"/>
      <c r="F15" s="91"/>
      <c r="G15" s="91"/>
      <c r="H15" s="91"/>
      <c r="I15" s="91"/>
    </row>
    <row r="16" spans="1:10" x14ac:dyDescent="0.45">
      <c r="A16" s="89"/>
      <c r="B16" s="89"/>
      <c r="C16" s="89"/>
      <c r="D16" s="89"/>
      <c r="E16" s="89"/>
      <c r="F16" s="91"/>
      <c r="G16" s="91"/>
      <c r="H16" s="91"/>
      <c r="I16" s="91"/>
    </row>
    <row r="17" spans="1:9" x14ac:dyDescent="0.45">
      <c r="A17" s="89"/>
      <c r="B17" s="89"/>
      <c r="C17" s="89"/>
      <c r="D17" s="89"/>
      <c r="E17" s="89"/>
      <c r="F17" s="91"/>
      <c r="G17" s="91"/>
      <c r="H17" s="91"/>
      <c r="I17" s="91"/>
    </row>
    <row r="18" spans="1:9" x14ac:dyDescent="0.45">
      <c r="A18" s="89"/>
      <c r="B18" s="96" t="s">
        <v>21</v>
      </c>
      <c r="C18" s="97" t="s">
        <v>22</v>
      </c>
      <c r="D18" s="98" t="s">
        <v>23</v>
      </c>
      <c r="E18" s="98" t="s">
        <v>24</v>
      </c>
      <c r="F18" s="98" t="s">
        <v>25</v>
      </c>
      <c r="G18" s="98" t="s">
        <v>55</v>
      </c>
      <c r="H18" s="98" t="s">
        <v>53</v>
      </c>
      <c r="I18" s="98" t="s">
        <v>54</v>
      </c>
    </row>
    <row r="19" spans="1:9" x14ac:dyDescent="0.45">
      <c r="A19" s="19"/>
      <c r="B19" s="20"/>
      <c r="C19" s="20"/>
      <c r="D19" s="99" t="e">
        <f>B72</f>
        <v>#DIV/0!</v>
      </c>
      <c r="E19" s="100" t="e">
        <f>C72</f>
        <v>#DIV/0!</v>
      </c>
      <c r="F19" s="101" t="e">
        <f>IF(AND(B19&lt;D19,C19&lt;E19),"Blue",(IF(AND(B19&lt;D19,C19&gt;E19),"Red",(IF(AND(B19&gt;D19,C19&gt;E19),"Green",(IF(AND(B19&gt;D19,C19&lt;E19),"Yellow")))))))</f>
        <v>#DIV/0!</v>
      </c>
      <c r="G19" s="108"/>
      <c r="H19" s="108"/>
      <c r="I19" s="108"/>
    </row>
    <row r="20" spans="1:9" x14ac:dyDescent="0.45">
      <c r="A20" s="19"/>
      <c r="B20" s="20"/>
      <c r="C20" s="20"/>
      <c r="D20" s="99" t="e">
        <f>B72</f>
        <v>#DIV/0!</v>
      </c>
      <c r="E20" s="100" t="e">
        <f>C72</f>
        <v>#DIV/0!</v>
      </c>
      <c r="F20" s="101" t="e">
        <f t="shared" ref="F20:F68" si="0">IF(AND(B20&lt;D20,C20&lt;E20),"Blue",(IF(AND(B20&lt;D20,C20&gt;E20),"Red",(IF(AND(B20&gt;D20,C20&gt;E20),"Green",(IF(AND(B20&gt;D20,C20&lt;E20),"Yellow")))))))</f>
        <v>#DIV/0!</v>
      </c>
      <c r="G20" s="108"/>
      <c r="H20" s="108"/>
      <c r="I20" s="108"/>
    </row>
    <row r="21" spans="1:9" x14ac:dyDescent="0.45">
      <c r="A21" s="19"/>
      <c r="B21" s="20"/>
      <c r="C21" s="20"/>
      <c r="D21" s="99" t="e">
        <f>B72</f>
        <v>#DIV/0!</v>
      </c>
      <c r="E21" s="100" t="e">
        <f>C72</f>
        <v>#DIV/0!</v>
      </c>
      <c r="F21" s="101" t="e">
        <f t="shared" si="0"/>
        <v>#DIV/0!</v>
      </c>
      <c r="G21" s="108"/>
      <c r="H21" s="108"/>
      <c r="I21" s="108"/>
    </row>
    <row r="22" spans="1:9" x14ac:dyDescent="0.45">
      <c r="A22" s="19"/>
      <c r="B22" s="20"/>
      <c r="C22" s="20"/>
      <c r="D22" s="99" t="e">
        <f>B72</f>
        <v>#DIV/0!</v>
      </c>
      <c r="E22" s="100" t="e">
        <f>C72</f>
        <v>#DIV/0!</v>
      </c>
      <c r="F22" s="101" t="e">
        <f t="shared" si="0"/>
        <v>#DIV/0!</v>
      </c>
      <c r="G22" s="108"/>
      <c r="H22" s="108"/>
      <c r="I22" s="108"/>
    </row>
    <row r="23" spans="1:9" x14ac:dyDescent="0.45">
      <c r="A23" s="19"/>
      <c r="B23" s="20"/>
      <c r="C23" s="20"/>
      <c r="D23" s="99" t="e">
        <f>B72</f>
        <v>#DIV/0!</v>
      </c>
      <c r="E23" s="100" t="e">
        <f>C72</f>
        <v>#DIV/0!</v>
      </c>
      <c r="F23" s="101" t="e">
        <f>IF(AND(B23&lt;D23,C23&lt;E23),"Blue",(IF(AND(B23&lt;D23,C23&gt;E23),"Red",(IF(AND(B23&gt;D23,C23&gt;E23),"Green",(IF(AND(B23&gt;D23,C23&lt;E23),"Yellow")))))))</f>
        <v>#DIV/0!</v>
      </c>
      <c r="G23" s="108"/>
      <c r="H23" s="108"/>
      <c r="I23" s="108"/>
    </row>
    <row r="24" spans="1:9" x14ac:dyDescent="0.45">
      <c r="A24" s="19"/>
      <c r="B24" s="20"/>
      <c r="C24" s="20"/>
      <c r="D24" s="99" t="e">
        <f>B72</f>
        <v>#DIV/0!</v>
      </c>
      <c r="E24" s="100" t="e">
        <f>C72</f>
        <v>#DIV/0!</v>
      </c>
      <c r="F24" s="101" t="e">
        <f t="shared" si="0"/>
        <v>#DIV/0!</v>
      </c>
      <c r="G24" s="108"/>
      <c r="H24" s="108"/>
      <c r="I24" s="108"/>
    </row>
    <row r="25" spans="1:9" x14ac:dyDescent="0.45">
      <c r="A25" s="19"/>
      <c r="B25" s="20"/>
      <c r="C25" s="20"/>
      <c r="D25" s="99" t="e">
        <f>B72</f>
        <v>#DIV/0!</v>
      </c>
      <c r="E25" s="100" t="e">
        <f>C72</f>
        <v>#DIV/0!</v>
      </c>
      <c r="F25" s="101" t="e">
        <f t="shared" si="0"/>
        <v>#DIV/0!</v>
      </c>
      <c r="G25" s="108"/>
      <c r="H25" s="108"/>
      <c r="I25" s="108"/>
    </row>
    <row r="26" spans="1:9" x14ac:dyDescent="0.45">
      <c r="A26" s="19"/>
      <c r="B26" s="20"/>
      <c r="C26" s="20"/>
      <c r="D26" s="99" t="e">
        <f>B72</f>
        <v>#DIV/0!</v>
      </c>
      <c r="E26" s="100" t="e">
        <f>C72</f>
        <v>#DIV/0!</v>
      </c>
      <c r="F26" s="101" t="e">
        <f t="shared" si="0"/>
        <v>#DIV/0!</v>
      </c>
      <c r="G26" s="108"/>
      <c r="H26" s="108"/>
      <c r="I26" s="108"/>
    </row>
    <row r="27" spans="1:9" x14ac:dyDescent="0.45">
      <c r="A27" s="19"/>
      <c r="B27" s="20"/>
      <c r="C27" s="20"/>
      <c r="D27" s="99" t="e">
        <f>B72</f>
        <v>#DIV/0!</v>
      </c>
      <c r="E27" s="100" t="e">
        <f>C72</f>
        <v>#DIV/0!</v>
      </c>
      <c r="F27" s="101" t="e">
        <f t="shared" si="0"/>
        <v>#DIV/0!</v>
      </c>
      <c r="G27" s="108"/>
      <c r="H27" s="108"/>
      <c r="I27" s="108"/>
    </row>
    <row r="28" spans="1:9" x14ac:dyDescent="0.45">
      <c r="A28" s="19"/>
      <c r="B28" s="20"/>
      <c r="C28" s="20"/>
      <c r="D28" s="99" t="e">
        <f>B72</f>
        <v>#DIV/0!</v>
      </c>
      <c r="E28" s="100" t="e">
        <f>C72</f>
        <v>#DIV/0!</v>
      </c>
      <c r="F28" s="101" t="e">
        <f t="shared" si="0"/>
        <v>#DIV/0!</v>
      </c>
      <c r="G28" s="108"/>
      <c r="H28" s="108"/>
      <c r="I28" s="108"/>
    </row>
    <row r="29" spans="1:9" x14ac:dyDescent="0.45">
      <c r="A29" s="19"/>
      <c r="B29" s="20"/>
      <c r="C29" s="20"/>
      <c r="D29" s="99" t="e">
        <f>B72</f>
        <v>#DIV/0!</v>
      </c>
      <c r="E29" s="100" t="e">
        <f>C72</f>
        <v>#DIV/0!</v>
      </c>
      <c r="F29" s="101" t="e">
        <f t="shared" si="0"/>
        <v>#DIV/0!</v>
      </c>
      <c r="G29" s="108"/>
      <c r="H29" s="108"/>
      <c r="I29" s="108"/>
    </row>
    <row r="30" spans="1:9" x14ac:dyDescent="0.45">
      <c r="A30" s="19"/>
      <c r="B30" s="20"/>
      <c r="C30" s="20"/>
      <c r="D30" s="99" t="e">
        <f>B72</f>
        <v>#DIV/0!</v>
      </c>
      <c r="E30" s="100" t="e">
        <f>C72</f>
        <v>#DIV/0!</v>
      </c>
      <c r="F30" s="101" t="e">
        <f t="shared" si="0"/>
        <v>#DIV/0!</v>
      </c>
      <c r="G30" s="108"/>
      <c r="H30" s="108"/>
      <c r="I30" s="108"/>
    </row>
    <row r="31" spans="1:9" x14ac:dyDescent="0.45">
      <c r="A31" s="19"/>
      <c r="B31" s="20"/>
      <c r="C31" s="20"/>
      <c r="D31" s="99" t="e">
        <f>B72</f>
        <v>#DIV/0!</v>
      </c>
      <c r="E31" s="100" t="e">
        <f>C72</f>
        <v>#DIV/0!</v>
      </c>
      <c r="F31" s="101" t="e">
        <f t="shared" si="0"/>
        <v>#DIV/0!</v>
      </c>
      <c r="G31" s="108"/>
      <c r="H31" s="108"/>
      <c r="I31" s="108"/>
    </row>
    <row r="32" spans="1:9" x14ac:dyDescent="0.45">
      <c r="A32" s="19"/>
      <c r="B32" s="20"/>
      <c r="C32" s="20"/>
      <c r="D32" s="99" t="e">
        <f>B72</f>
        <v>#DIV/0!</v>
      </c>
      <c r="E32" s="100" t="e">
        <f>C72</f>
        <v>#DIV/0!</v>
      </c>
      <c r="F32" s="101" t="e">
        <f t="shared" si="0"/>
        <v>#DIV/0!</v>
      </c>
      <c r="G32" s="108"/>
      <c r="H32" s="108"/>
      <c r="I32" s="108"/>
    </row>
    <row r="33" spans="1:9" x14ac:dyDescent="0.45">
      <c r="A33" s="19"/>
      <c r="B33" s="20"/>
      <c r="C33" s="20"/>
      <c r="D33" s="99" t="e">
        <f>B72</f>
        <v>#DIV/0!</v>
      </c>
      <c r="E33" s="100" t="e">
        <f>C72</f>
        <v>#DIV/0!</v>
      </c>
      <c r="F33" s="101" t="e">
        <f t="shared" si="0"/>
        <v>#DIV/0!</v>
      </c>
      <c r="G33" s="108"/>
      <c r="H33" s="108"/>
      <c r="I33" s="108"/>
    </row>
    <row r="34" spans="1:9" x14ac:dyDescent="0.45">
      <c r="A34" s="19"/>
      <c r="B34" s="20"/>
      <c r="C34" s="20"/>
      <c r="D34" s="99" t="e">
        <f>B72</f>
        <v>#DIV/0!</v>
      </c>
      <c r="E34" s="100" t="e">
        <f>C72</f>
        <v>#DIV/0!</v>
      </c>
      <c r="F34" s="101" t="e">
        <f t="shared" si="0"/>
        <v>#DIV/0!</v>
      </c>
      <c r="G34" s="108"/>
      <c r="H34" s="108"/>
      <c r="I34" s="108"/>
    </row>
    <row r="35" spans="1:9" x14ac:dyDescent="0.45">
      <c r="A35" s="19"/>
      <c r="B35" s="20"/>
      <c r="C35" s="20"/>
      <c r="D35" s="99" t="e">
        <f>B72</f>
        <v>#DIV/0!</v>
      </c>
      <c r="E35" s="100" t="e">
        <f>C72</f>
        <v>#DIV/0!</v>
      </c>
      <c r="F35" s="101" t="e">
        <f t="shared" si="0"/>
        <v>#DIV/0!</v>
      </c>
      <c r="G35" s="108"/>
      <c r="H35" s="108"/>
      <c r="I35" s="108"/>
    </row>
    <row r="36" spans="1:9" x14ac:dyDescent="0.45">
      <c r="A36" s="19"/>
      <c r="B36" s="20"/>
      <c r="C36" s="20"/>
      <c r="D36" s="99" t="e">
        <f>B72</f>
        <v>#DIV/0!</v>
      </c>
      <c r="E36" s="100" t="e">
        <f>C72</f>
        <v>#DIV/0!</v>
      </c>
      <c r="F36" s="101" t="e">
        <f t="shared" si="0"/>
        <v>#DIV/0!</v>
      </c>
      <c r="G36" s="108"/>
      <c r="H36" s="108"/>
      <c r="I36" s="108"/>
    </row>
    <row r="37" spans="1:9" x14ac:dyDescent="0.45">
      <c r="A37" s="19"/>
      <c r="B37" s="20"/>
      <c r="C37" s="20"/>
      <c r="D37" s="99" t="e">
        <f>B72</f>
        <v>#DIV/0!</v>
      </c>
      <c r="E37" s="100" t="e">
        <f>C72</f>
        <v>#DIV/0!</v>
      </c>
      <c r="F37" s="101" t="e">
        <f t="shared" si="0"/>
        <v>#DIV/0!</v>
      </c>
      <c r="G37" s="108"/>
      <c r="H37" s="108"/>
      <c r="I37" s="108"/>
    </row>
    <row r="38" spans="1:9" x14ac:dyDescent="0.45">
      <c r="A38" s="19"/>
      <c r="B38" s="20"/>
      <c r="C38" s="20"/>
      <c r="D38" s="99" t="e">
        <f>B72</f>
        <v>#DIV/0!</v>
      </c>
      <c r="E38" s="100" t="e">
        <f>C72</f>
        <v>#DIV/0!</v>
      </c>
      <c r="F38" s="101" t="e">
        <f t="shared" si="0"/>
        <v>#DIV/0!</v>
      </c>
      <c r="G38" s="108"/>
      <c r="H38" s="108"/>
      <c r="I38" s="108"/>
    </row>
    <row r="39" spans="1:9" x14ac:dyDescent="0.45">
      <c r="A39" s="19"/>
      <c r="B39" s="20"/>
      <c r="C39" s="20"/>
      <c r="D39" s="99" t="e">
        <f>B72</f>
        <v>#DIV/0!</v>
      </c>
      <c r="E39" s="100" t="e">
        <f>C72</f>
        <v>#DIV/0!</v>
      </c>
      <c r="F39" s="101" t="e">
        <f t="shared" si="0"/>
        <v>#DIV/0!</v>
      </c>
      <c r="G39" s="108"/>
      <c r="H39" s="108"/>
      <c r="I39" s="108"/>
    </row>
    <row r="40" spans="1:9" x14ac:dyDescent="0.45">
      <c r="A40" s="19"/>
      <c r="B40" s="20"/>
      <c r="C40" s="20"/>
      <c r="D40" s="99" t="e">
        <f>B72</f>
        <v>#DIV/0!</v>
      </c>
      <c r="E40" s="100" t="e">
        <f>C72</f>
        <v>#DIV/0!</v>
      </c>
      <c r="F40" s="101" t="e">
        <f t="shared" si="0"/>
        <v>#DIV/0!</v>
      </c>
      <c r="G40" s="108"/>
      <c r="H40" s="108"/>
      <c r="I40" s="108"/>
    </row>
    <row r="41" spans="1:9" x14ac:dyDescent="0.45">
      <c r="A41" s="19"/>
      <c r="B41" s="20"/>
      <c r="C41" s="20"/>
      <c r="D41" s="99" t="e">
        <f>B72</f>
        <v>#DIV/0!</v>
      </c>
      <c r="E41" s="100" t="e">
        <f>C72</f>
        <v>#DIV/0!</v>
      </c>
      <c r="F41" s="101" t="e">
        <f t="shared" si="0"/>
        <v>#DIV/0!</v>
      </c>
      <c r="G41" s="108"/>
      <c r="H41" s="108"/>
      <c r="I41" s="108"/>
    </row>
    <row r="42" spans="1:9" x14ac:dyDescent="0.45">
      <c r="A42" s="19"/>
      <c r="B42" s="20"/>
      <c r="C42" s="20"/>
      <c r="D42" s="99" t="e">
        <f>B72</f>
        <v>#DIV/0!</v>
      </c>
      <c r="E42" s="100" t="e">
        <f>C72</f>
        <v>#DIV/0!</v>
      </c>
      <c r="F42" s="101" t="e">
        <f t="shared" si="0"/>
        <v>#DIV/0!</v>
      </c>
      <c r="G42" s="108"/>
      <c r="H42" s="108"/>
      <c r="I42" s="108"/>
    </row>
    <row r="43" spans="1:9" x14ac:dyDescent="0.45">
      <c r="A43" s="19"/>
      <c r="B43" s="20"/>
      <c r="C43" s="20"/>
      <c r="D43" s="99" t="e">
        <f>B72</f>
        <v>#DIV/0!</v>
      </c>
      <c r="E43" s="100" t="e">
        <f>C72</f>
        <v>#DIV/0!</v>
      </c>
      <c r="F43" s="101" t="e">
        <f t="shared" si="0"/>
        <v>#DIV/0!</v>
      </c>
      <c r="G43" s="108"/>
      <c r="H43" s="108"/>
      <c r="I43" s="108"/>
    </row>
    <row r="44" spans="1:9" x14ac:dyDescent="0.45">
      <c r="A44" s="19"/>
      <c r="B44" s="20"/>
      <c r="C44" s="20"/>
      <c r="D44" s="99" t="e">
        <f>B72</f>
        <v>#DIV/0!</v>
      </c>
      <c r="E44" s="100" t="e">
        <f>C72</f>
        <v>#DIV/0!</v>
      </c>
      <c r="F44" s="101" t="e">
        <f t="shared" si="0"/>
        <v>#DIV/0!</v>
      </c>
      <c r="G44" s="108"/>
      <c r="H44" s="108"/>
      <c r="I44" s="108"/>
    </row>
    <row r="45" spans="1:9" x14ac:dyDescent="0.45">
      <c r="A45" s="19"/>
      <c r="B45" s="20"/>
      <c r="C45" s="20"/>
      <c r="D45" s="99" t="e">
        <f>B72</f>
        <v>#DIV/0!</v>
      </c>
      <c r="E45" s="100" t="e">
        <f>C72</f>
        <v>#DIV/0!</v>
      </c>
      <c r="F45" s="101" t="e">
        <f t="shared" si="0"/>
        <v>#DIV/0!</v>
      </c>
      <c r="G45" s="108"/>
      <c r="H45" s="108"/>
      <c r="I45" s="108"/>
    </row>
    <row r="46" spans="1:9" x14ac:dyDescent="0.45">
      <c r="A46" s="19"/>
      <c r="B46" s="20"/>
      <c r="C46" s="20"/>
      <c r="D46" s="99" t="e">
        <f>B72</f>
        <v>#DIV/0!</v>
      </c>
      <c r="E46" s="100" t="e">
        <f>C72</f>
        <v>#DIV/0!</v>
      </c>
      <c r="F46" s="101" t="e">
        <f t="shared" si="0"/>
        <v>#DIV/0!</v>
      </c>
      <c r="G46" s="108"/>
      <c r="H46" s="108"/>
      <c r="I46" s="108"/>
    </row>
    <row r="47" spans="1:9" x14ac:dyDescent="0.45">
      <c r="A47" s="19"/>
      <c r="B47" s="20"/>
      <c r="C47" s="20"/>
      <c r="D47" s="99" t="e">
        <f>B72</f>
        <v>#DIV/0!</v>
      </c>
      <c r="E47" s="100" t="e">
        <f>C72</f>
        <v>#DIV/0!</v>
      </c>
      <c r="F47" s="101" t="e">
        <f t="shared" si="0"/>
        <v>#DIV/0!</v>
      </c>
      <c r="G47" s="108"/>
      <c r="H47" s="108"/>
      <c r="I47" s="108"/>
    </row>
    <row r="48" spans="1:9" x14ac:dyDescent="0.45">
      <c r="A48" s="19"/>
      <c r="B48" s="20"/>
      <c r="C48" s="20"/>
      <c r="D48" s="99" t="e">
        <f>B72</f>
        <v>#DIV/0!</v>
      </c>
      <c r="E48" s="100" t="e">
        <f>C72</f>
        <v>#DIV/0!</v>
      </c>
      <c r="F48" s="101" t="e">
        <f t="shared" si="0"/>
        <v>#DIV/0!</v>
      </c>
      <c r="G48" s="108"/>
      <c r="H48" s="108"/>
      <c r="I48" s="108"/>
    </row>
    <row r="49" spans="1:9" x14ac:dyDescent="0.45">
      <c r="A49" s="19"/>
      <c r="B49" s="20"/>
      <c r="C49" s="20"/>
      <c r="D49" s="99" t="e">
        <f>B72</f>
        <v>#DIV/0!</v>
      </c>
      <c r="E49" s="100" t="e">
        <f>C72</f>
        <v>#DIV/0!</v>
      </c>
      <c r="F49" s="101" t="e">
        <f t="shared" si="0"/>
        <v>#DIV/0!</v>
      </c>
      <c r="G49" s="108"/>
      <c r="H49" s="108"/>
      <c r="I49" s="108"/>
    </row>
    <row r="50" spans="1:9" x14ac:dyDescent="0.45">
      <c r="A50" s="19"/>
      <c r="B50" s="20"/>
      <c r="C50" s="20"/>
      <c r="D50" s="99" t="e">
        <f>B72</f>
        <v>#DIV/0!</v>
      </c>
      <c r="E50" s="100" t="e">
        <f>C72</f>
        <v>#DIV/0!</v>
      </c>
      <c r="F50" s="101" t="e">
        <f t="shared" si="0"/>
        <v>#DIV/0!</v>
      </c>
      <c r="G50" s="108"/>
      <c r="H50" s="108"/>
      <c r="I50" s="108"/>
    </row>
    <row r="51" spans="1:9" x14ac:dyDescent="0.45">
      <c r="A51" s="19"/>
      <c r="B51" s="20"/>
      <c r="C51" s="20"/>
      <c r="D51" s="99" t="e">
        <f>B72</f>
        <v>#DIV/0!</v>
      </c>
      <c r="E51" s="100" t="e">
        <f>C72</f>
        <v>#DIV/0!</v>
      </c>
      <c r="F51" s="101" t="e">
        <f t="shared" si="0"/>
        <v>#DIV/0!</v>
      </c>
      <c r="G51" s="108"/>
      <c r="H51" s="108"/>
      <c r="I51" s="108"/>
    </row>
    <row r="52" spans="1:9" x14ac:dyDescent="0.45">
      <c r="A52" s="19"/>
      <c r="B52" s="20"/>
      <c r="C52" s="20"/>
      <c r="D52" s="99" t="e">
        <f>B72</f>
        <v>#DIV/0!</v>
      </c>
      <c r="E52" s="100" t="e">
        <f>C72</f>
        <v>#DIV/0!</v>
      </c>
      <c r="F52" s="101" t="e">
        <f t="shared" si="0"/>
        <v>#DIV/0!</v>
      </c>
      <c r="G52" s="108"/>
      <c r="H52" s="108"/>
      <c r="I52" s="108"/>
    </row>
    <row r="53" spans="1:9" x14ac:dyDescent="0.45">
      <c r="A53" s="19"/>
      <c r="B53" s="20"/>
      <c r="C53" s="20"/>
      <c r="D53" s="99" t="e">
        <f>B72</f>
        <v>#DIV/0!</v>
      </c>
      <c r="E53" s="100" t="e">
        <f>C72</f>
        <v>#DIV/0!</v>
      </c>
      <c r="F53" s="101" t="e">
        <f t="shared" si="0"/>
        <v>#DIV/0!</v>
      </c>
      <c r="G53" s="108"/>
      <c r="H53" s="108"/>
      <c r="I53" s="108"/>
    </row>
    <row r="54" spans="1:9" x14ac:dyDescent="0.45">
      <c r="A54" s="102"/>
      <c r="B54" s="103"/>
      <c r="C54" s="104"/>
      <c r="D54" s="99" t="e">
        <f>B72</f>
        <v>#DIV/0!</v>
      </c>
      <c r="E54" s="100" t="e">
        <f>C72</f>
        <v>#DIV/0!</v>
      </c>
      <c r="F54" s="101" t="e">
        <f t="shared" si="0"/>
        <v>#DIV/0!</v>
      </c>
      <c r="G54" s="108"/>
      <c r="H54" s="108"/>
      <c r="I54" s="108"/>
    </row>
    <row r="55" spans="1:9" x14ac:dyDescent="0.45">
      <c r="A55" s="102"/>
      <c r="B55" s="103"/>
      <c r="C55" s="104"/>
      <c r="D55" s="99" t="e">
        <f>B72</f>
        <v>#DIV/0!</v>
      </c>
      <c r="E55" s="100" t="e">
        <f>C72</f>
        <v>#DIV/0!</v>
      </c>
      <c r="F55" s="101" t="e">
        <f t="shared" si="0"/>
        <v>#DIV/0!</v>
      </c>
      <c r="G55" s="108"/>
      <c r="H55" s="108"/>
      <c r="I55" s="108"/>
    </row>
    <row r="56" spans="1:9" x14ac:dyDescent="0.45">
      <c r="A56" s="102"/>
      <c r="B56" s="103"/>
      <c r="C56" s="104"/>
      <c r="D56" s="99" t="e">
        <f>B72</f>
        <v>#DIV/0!</v>
      </c>
      <c r="E56" s="100" t="e">
        <f>C72</f>
        <v>#DIV/0!</v>
      </c>
      <c r="F56" s="101" t="e">
        <f t="shared" si="0"/>
        <v>#DIV/0!</v>
      </c>
      <c r="G56" s="108"/>
      <c r="H56" s="108"/>
      <c r="I56" s="108"/>
    </row>
    <row r="57" spans="1:9" x14ac:dyDescent="0.45">
      <c r="A57" s="102"/>
      <c r="B57" s="103"/>
      <c r="C57" s="104"/>
      <c r="D57" s="99" t="e">
        <f>B72</f>
        <v>#DIV/0!</v>
      </c>
      <c r="E57" s="100" t="e">
        <f>C72</f>
        <v>#DIV/0!</v>
      </c>
      <c r="F57" s="101" t="e">
        <f t="shared" si="0"/>
        <v>#DIV/0!</v>
      </c>
      <c r="G57" s="108"/>
      <c r="H57" s="108"/>
      <c r="I57" s="108"/>
    </row>
    <row r="58" spans="1:9" x14ac:dyDescent="0.45">
      <c r="A58" s="102"/>
      <c r="B58" s="103"/>
      <c r="C58" s="104"/>
      <c r="D58" s="99" t="e">
        <f>B72</f>
        <v>#DIV/0!</v>
      </c>
      <c r="E58" s="100" t="e">
        <f>C72</f>
        <v>#DIV/0!</v>
      </c>
      <c r="F58" s="101" t="e">
        <f t="shared" si="0"/>
        <v>#DIV/0!</v>
      </c>
      <c r="G58" s="108"/>
      <c r="H58" s="108"/>
      <c r="I58" s="108"/>
    </row>
    <row r="59" spans="1:9" x14ac:dyDescent="0.45">
      <c r="A59" s="102"/>
      <c r="B59" s="103"/>
      <c r="C59" s="104"/>
      <c r="D59" s="99" t="e">
        <f>B72</f>
        <v>#DIV/0!</v>
      </c>
      <c r="E59" s="100" t="e">
        <f>C72</f>
        <v>#DIV/0!</v>
      </c>
      <c r="F59" s="101" t="e">
        <f t="shared" si="0"/>
        <v>#DIV/0!</v>
      </c>
      <c r="G59" s="108"/>
      <c r="H59" s="108"/>
      <c r="I59" s="108"/>
    </row>
    <row r="60" spans="1:9" x14ac:dyDescent="0.45">
      <c r="A60" s="102"/>
      <c r="B60" s="103"/>
      <c r="C60" s="104"/>
      <c r="D60" s="99" t="e">
        <f>B72</f>
        <v>#DIV/0!</v>
      </c>
      <c r="E60" s="100" t="e">
        <f>C72</f>
        <v>#DIV/0!</v>
      </c>
      <c r="F60" s="101" t="e">
        <f t="shared" si="0"/>
        <v>#DIV/0!</v>
      </c>
      <c r="G60" s="108"/>
      <c r="H60" s="108"/>
      <c r="I60" s="108"/>
    </row>
    <row r="61" spans="1:9" x14ac:dyDescent="0.45">
      <c r="A61" s="102"/>
      <c r="B61" s="103"/>
      <c r="C61" s="104"/>
      <c r="D61" s="99" t="e">
        <f>B72</f>
        <v>#DIV/0!</v>
      </c>
      <c r="E61" s="100" t="e">
        <f>C72</f>
        <v>#DIV/0!</v>
      </c>
      <c r="F61" s="101" t="e">
        <f t="shared" si="0"/>
        <v>#DIV/0!</v>
      </c>
      <c r="G61" s="108"/>
      <c r="H61" s="108"/>
      <c r="I61" s="108"/>
    </row>
    <row r="62" spans="1:9" x14ac:dyDescent="0.45">
      <c r="A62" s="102"/>
      <c r="B62" s="103"/>
      <c r="C62" s="104"/>
      <c r="D62" s="99" t="e">
        <f>B72</f>
        <v>#DIV/0!</v>
      </c>
      <c r="E62" s="100" t="e">
        <f>C72</f>
        <v>#DIV/0!</v>
      </c>
      <c r="F62" s="101" t="e">
        <f t="shared" si="0"/>
        <v>#DIV/0!</v>
      </c>
      <c r="G62" s="108"/>
      <c r="H62" s="108"/>
      <c r="I62" s="108"/>
    </row>
    <row r="63" spans="1:9" x14ac:dyDescent="0.45">
      <c r="A63" s="102"/>
      <c r="B63" s="103"/>
      <c r="C63" s="104"/>
      <c r="D63" s="99" t="e">
        <f>B72</f>
        <v>#DIV/0!</v>
      </c>
      <c r="E63" s="100" t="e">
        <f>C72</f>
        <v>#DIV/0!</v>
      </c>
      <c r="F63" s="101" t="e">
        <f t="shared" si="0"/>
        <v>#DIV/0!</v>
      </c>
      <c r="G63" s="108"/>
      <c r="H63" s="108"/>
      <c r="I63" s="108"/>
    </row>
    <row r="64" spans="1:9" x14ac:dyDescent="0.45">
      <c r="A64" s="102"/>
      <c r="B64" s="103"/>
      <c r="C64" s="104"/>
      <c r="D64" s="99" t="e">
        <f>B72</f>
        <v>#DIV/0!</v>
      </c>
      <c r="E64" s="100" t="e">
        <f>C72</f>
        <v>#DIV/0!</v>
      </c>
      <c r="F64" s="101" t="e">
        <f t="shared" si="0"/>
        <v>#DIV/0!</v>
      </c>
      <c r="G64" s="108"/>
      <c r="H64" s="108"/>
      <c r="I64" s="108"/>
    </row>
    <row r="65" spans="1:9" x14ac:dyDescent="0.45">
      <c r="A65" s="102"/>
      <c r="B65" s="103"/>
      <c r="C65" s="104"/>
      <c r="D65" s="99" t="e">
        <f>B72</f>
        <v>#DIV/0!</v>
      </c>
      <c r="E65" s="100" t="e">
        <f>C72</f>
        <v>#DIV/0!</v>
      </c>
      <c r="F65" s="101" t="e">
        <f t="shared" si="0"/>
        <v>#DIV/0!</v>
      </c>
      <c r="G65" s="108"/>
      <c r="H65" s="108"/>
      <c r="I65" s="108"/>
    </row>
    <row r="66" spans="1:9" x14ac:dyDescent="0.45">
      <c r="A66" s="102"/>
      <c r="B66" s="103"/>
      <c r="C66" s="104"/>
      <c r="D66" s="99" t="e">
        <f>B72</f>
        <v>#DIV/0!</v>
      </c>
      <c r="E66" s="100" t="e">
        <f>C72</f>
        <v>#DIV/0!</v>
      </c>
      <c r="F66" s="101" t="e">
        <f t="shared" si="0"/>
        <v>#DIV/0!</v>
      </c>
      <c r="G66" s="108"/>
      <c r="H66" s="108"/>
      <c r="I66" s="108"/>
    </row>
    <row r="67" spans="1:9" x14ac:dyDescent="0.45">
      <c r="A67" s="102"/>
      <c r="B67" s="103"/>
      <c r="C67" s="104"/>
      <c r="D67" s="99" t="e">
        <f>B72</f>
        <v>#DIV/0!</v>
      </c>
      <c r="E67" s="100" t="e">
        <f>C72</f>
        <v>#DIV/0!</v>
      </c>
      <c r="F67" s="101" t="e">
        <f t="shared" si="0"/>
        <v>#DIV/0!</v>
      </c>
      <c r="G67" s="108"/>
      <c r="H67" s="108"/>
      <c r="I67" s="108"/>
    </row>
    <row r="68" spans="1:9" x14ac:dyDescent="0.45">
      <c r="A68" s="102"/>
      <c r="B68" s="103"/>
      <c r="C68" s="104"/>
      <c r="D68" s="99" t="e">
        <f>B72</f>
        <v>#DIV/0!</v>
      </c>
      <c r="E68" s="100" t="e">
        <f>C72</f>
        <v>#DIV/0!</v>
      </c>
      <c r="F68" s="101" t="e">
        <f t="shared" si="0"/>
        <v>#DIV/0!</v>
      </c>
      <c r="G68" s="108"/>
      <c r="H68" s="108"/>
      <c r="I68" s="108"/>
    </row>
    <row r="69" spans="1:9" x14ac:dyDescent="0.45">
      <c r="A69" s="105"/>
      <c r="B69" s="106"/>
      <c r="C69" s="107"/>
      <c r="D69" s="99"/>
      <c r="E69" s="100"/>
      <c r="F69" s="108"/>
      <c r="G69" s="108"/>
      <c r="H69" s="108"/>
      <c r="I69" s="108"/>
    </row>
    <row r="70" spans="1:9" x14ac:dyDescent="0.45">
      <c r="A70" s="105"/>
      <c r="B70" s="106"/>
      <c r="C70" s="107"/>
      <c r="D70" s="99"/>
      <c r="E70" s="100"/>
      <c r="F70" s="108"/>
      <c r="G70" s="108"/>
      <c r="H70" s="108"/>
      <c r="I70" s="108"/>
    </row>
    <row r="71" spans="1:9" x14ac:dyDescent="0.45">
      <c r="A71" s="105"/>
      <c r="B71" s="106"/>
      <c r="C71" s="107"/>
      <c r="D71" s="99"/>
      <c r="E71" s="100"/>
      <c r="F71" s="108"/>
      <c r="G71" s="108"/>
      <c r="H71" s="108"/>
      <c r="I71" s="108"/>
    </row>
    <row r="72" spans="1:9" x14ac:dyDescent="0.45">
      <c r="A72" s="109" t="s">
        <v>26</v>
      </c>
      <c r="B72" s="110" t="e">
        <f>AVERAGE(B19:B68)</f>
        <v>#DIV/0!</v>
      </c>
      <c r="C72" s="110" t="e">
        <f>AVERAGE(C19:C68)</f>
        <v>#DIV/0!</v>
      </c>
      <c r="D72" s="99"/>
      <c r="E72" s="100"/>
    </row>
    <row r="73" spans="1:9" x14ac:dyDescent="0.45">
      <c r="A73" s="109" t="s">
        <v>27</v>
      </c>
      <c r="B73" s="110" t="e">
        <f>B72-1.1*(MAX(MAX(B19:B68)-B72,B72-MIN(B19:B68)))</f>
        <v>#DIV/0!</v>
      </c>
      <c r="C73" s="110" t="e">
        <f>C72-1.18*(MAX(MAX(C19:C68)-C72,C72-MIN(C19:C68)))</f>
        <v>#DIV/0!</v>
      </c>
      <c r="D73" s="99"/>
    </row>
    <row r="74" spans="1:9" x14ac:dyDescent="0.45">
      <c r="A74" s="109" t="s">
        <v>28</v>
      </c>
      <c r="B74" s="110" t="e">
        <f>B72+1.1*(MAX(MAX(B19:B68)-B72,B72-MIN(B19:B68)))</f>
        <v>#DIV/0!</v>
      </c>
      <c r="C74" s="110" t="e">
        <f>C72+1.18*(MAX(MAX(C19:C68)-C72,C72-MIN(C19:C68)))</f>
        <v>#DIV/0!</v>
      </c>
      <c r="D74" s="99"/>
    </row>
    <row r="75" spans="1:9" x14ac:dyDescent="0.45">
      <c r="D75" s="99"/>
    </row>
    <row r="76" spans="1:9" x14ac:dyDescent="0.45">
      <c r="B76" s="89"/>
      <c r="C76" s="89"/>
      <c r="D76" s="89"/>
    </row>
    <row r="77" spans="1:9" x14ac:dyDescent="0.45">
      <c r="B77" s="89"/>
      <c r="C77" s="89"/>
      <c r="D77" s="89"/>
    </row>
    <row r="78" spans="1:9" x14ac:dyDescent="0.45">
      <c r="D78" s="99"/>
    </row>
    <row r="79" spans="1:9" x14ac:dyDescent="0.45">
      <c r="D79" s="99"/>
    </row>
    <row r="80" spans="1:9" x14ac:dyDescent="0.45">
      <c r="D80" s="99"/>
    </row>
    <row r="81" spans="4:4" x14ac:dyDescent="0.45">
      <c r="D81" s="99"/>
    </row>
    <row r="82" spans="4:4" x14ac:dyDescent="0.45">
      <c r="D82" s="99"/>
    </row>
    <row r="83" spans="4:4" x14ac:dyDescent="0.45">
      <c r="D83" s="9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9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2032-F349-41D9-9E25-CB0A2F77859F}">
  <sheetPr codeName="Sheet5"/>
  <dimension ref="A1:J83"/>
  <sheetViews>
    <sheetView zoomScale="85" zoomScaleNormal="85" workbookViewId="0"/>
  </sheetViews>
  <sheetFormatPr defaultColWidth="8.75" defaultRowHeight="16.5" x14ac:dyDescent="0.45"/>
  <cols>
    <col min="1" max="1" width="38.25" customWidth="1"/>
    <col min="4" max="9" width="15.58203125" customWidth="1"/>
    <col min="10" max="10" width="158.33203125" customWidth="1"/>
    <col min="12" max="12" width="147.33203125" customWidth="1"/>
  </cols>
  <sheetData>
    <row r="1" spans="1:10" x14ac:dyDescent="0.45">
      <c r="A1" s="88" t="s">
        <v>0</v>
      </c>
      <c r="B1" s="89"/>
      <c r="C1" s="89"/>
      <c r="D1" s="89"/>
      <c r="E1" s="90"/>
      <c r="F1" s="91"/>
      <c r="G1" s="91"/>
      <c r="H1" s="91"/>
      <c r="I1" s="91"/>
    </row>
    <row r="2" spans="1:10" x14ac:dyDescent="0.45">
      <c r="A2" s="92"/>
      <c r="B2" s="89"/>
      <c r="C2" s="89"/>
      <c r="D2" s="89"/>
      <c r="E2" s="90"/>
      <c r="F2" s="91"/>
      <c r="G2" s="91"/>
      <c r="H2" s="91"/>
      <c r="I2" s="91"/>
    </row>
    <row r="3" spans="1:10" ht="21" x14ac:dyDescent="0.55000000000000004">
      <c r="A3" s="92" t="s">
        <v>1</v>
      </c>
      <c r="B3" s="89"/>
      <c r="C3" s="89"/>
      <c r="D3" s="89"/>
      <c r="E3" s="90"/>
      <c r="F3" s="91"/>
      <c r="G3" s="91"/>
      <c r="H3" s="91"/>
      <c r="I3" s="91"/>
      <c r="J3" s="93" t="s">
        <v>2</v>
      </c>
    </row>
    <row r="4" spans="1:10" ht="21" x14ac:dyDescent="0.55000000000000004">
      <c r="A4" s="92" t="s">
        <v>3</v>
      </c>
      <c r="B4" s="89"/>
      <c r="C4" s="89"/>
      <c r="D4" s="89"/>
      <c r="E4" s="89"/>
      <c r="F4" s="91"/>
      <c r="G4" s="91"/>
      <c r="H4" s="91"/>
      <c r="I4" s="91"/>
      <c r="J4" s="93" t="s">
        <v>4</v>
      </c>
    </row>
    <row r="5" spans="1:10" ht="21" x14ac:dyDescent="0.55000000000000004">
      <c r="A5" s="92"/>
      <c r="B5" s="89"/>
      <c r="C5" s="89"/>
      <c r="D5" s="89"/>
      <c r="E5" s="89"/>
      <c r="F5" s="91"/>
      <c r="G5" s="91"/>
      <c r="H5" s="91"/>
      <c r="I5" s="91"/>
      <c r="J5" s="93" t="s">
        <v>5</v>
      </c>
    </row>
    <row r="6" spans="1:10" ht="21" x14ac:dyDescent="0.55000000000000004">
      <c r="A6" s="92" t="s">
        <v>6</v>
      </c>
      <c r="B6" s="89"/>
      <c r="C6" s="89"/>
      <c r="D6" s="89"/>
      <c r="E6" s="89"/>
      <c r="F6" s="91"/>
      <c r="G6" s="91"/>
      <c r="H6" s="91"/>
      <c r="I6" s="91"/>
      <c r="J6" s="93" t="s">
        <v>7</v>
      </c>
    </row>
    <row r="7" spans="1:10" ht="21" x14ac:dyDescent="0.55000000000000004">
      <c r="A7" s="92"/>
      <c r="B7" s="89"/>
      <c r="C7" s="89"/>
      <c r="D7" s="89"/>
      <c r="E7" s="89"/>
      <c r="F7" s="91"/>
      <c r="G7" s="91"/>
      <c r="H7" s="91"/>
      <c r="I7" s="91"/>
      <c r="J7" s="93"/>
    </row>
    <row r="8" spans="1:10" ht="21" x14ac:dyDescent="0.55000000000000004">
      <c r="A8" s="88" t="s">
        <v>8</v>
      </c>
      <c r="B8" s="89"/>
      <c r="C8" s="89"/>
      <c r="D8" s="89"/>
      <c r="E8" s="89"/>
      <c r="F8" s="91"/>
      <c r="G8" s="91"/>
      <c r="H8" s="91"/>
      <c r="I8" s="91"/>
      <c r="J8" s="93" t="s">
        <v>9</v>
      </c>
    </row>
    <row r="9" spans="1:10" ht="21" x14ac:dyDescent="0.55000000000000004">
      <c r="A9" s="115" t="s">
        <v>10</v>
      </c>
      <c r="B9" s="116" t="s">
        <v>11</v>
      </c>
      <c r="C9" s="89"/>
      <c r="D9" s="89"/>
      <c r="E9" s="89"/>
      <c r="F9" s="91"/>
      <c r="G9" s="91"/>
      <c r="H9" s="91"/>
      <c r="I9" s="91"/>
      <c r="J9" s="94"/>
    </row>
    <row r="10" spans="1:10" ht="21" x14ac:dyDescent="0.55000000000000004">
      <c r="A10" s="115" t="s">
        <v>13</v>
      </c>
      <c r="B10" s="116" t="s">
        <v>14</v>
      </c>
      <c r="C10" s="89"/>
      <c r="D10" s="89"/>
      <c r="E10" s="89"/>
      <c r="F10" s="91"/>
      <c r="G10" s="91"/>
      <c r="H10" s="91"/>
      <c r="I10" s="91"/>
      <c r="J10" s="94"/>
    </row>
    <row r="11" spans="1:10" x14ac:dyDescent="0.45">
      <c r="A11" s="89"/>
      <c r="B11" s="89"/>
      <c r="C11" s="89"/>
      <c r="D11" s="89"/>
      <c r="E11" s="89"/>
      <c r="F11" s="91"/>
      <c r="G11" s="91"/>
      <c r="H11" s="91"/>
      <c r="I11" s="91"/>
    </row>
    <row r="12" spans="1:10" x14ac:dyDescent="0.45">
      <c r="A12" s="88" t="s">
        <v>15</v>
      </c>
      <c r="B12" s="95"/>
      <c r="C12" s="89"/>
      <c r="D12" s="89"/>
      <c r="E12" s="89"/>
      <c r="F12" s="91"/>
      <c r="G12" s="91"/>
      <c r="H12" s="91"/>
      <c r="I12" s="91"/>
    </row>
    <row r="13" spans="1:10" x14ac:dyDescent="0.45">
      <c r="A13" s="115" t="s">
        <v>16</v>
      </c>
      <c r="B13" s="116" t="s">
        <v>17</v>
      </c>
      <c r="C13" s="89"/>
      <c r="D13" s="115" t="s">
        <v>18</v>
      </c>
      <c r="E13" s="116" t="s">
        <v>17</v>
      </c>
      <c r="F13" s="91"/>
      <c r="G13" s="91"/>
      <c r="H13" s="91"/>
      <c r="I13" s="91"/>
    </row>
    <row r="14" spans="1:10" x14ac:dyDescent="0.45">
      <c r="A14" s="115" t="s">
        <v>19</v>
      </c>
      <c r="B14" s="116" t="s">
        <v>17</v>
      </c>
      <c r="C14" s="89"/>
      <c r="D14" s="115" t="s">
        <v>20</v>
      </c>
      <c r="E14" s="116" t="s">
        <v>17</v>
      </c>
      <c r="F14" s="91"/>
      <c r="G14" s="91"/>
      <c r="H14" s="91"/>
      <c r="I14" s="91"/>
    </row>
    <row r="15" spans="1:10" x14ac:dyDescent="0.45">
      <c r="A15" s="89"/>
      <c r="B15" s="89"/>
      <c r="C15" s="89"/>
      <c r="D15" s="89"/>
      <c r="E15" s="89"/>
      <c r="F15" s="91"/>
      <c r="G15" s="91"/>
      <c r="H15" s="91"/>
      <c r="I15" s="91"/>
    </row>
    <row r="16" spans="1:10" x14ac:dyDescent="0.45">
      <c r="A16" s="89"/>
      <c r="B16" s="89"/>
      <c r="C16" s="89"/>
      <c r="D16" s="89"/>
      <c r="E16" s="89"/>
      <c r="F16" s="91"/>
      <c r="G16" s="91"/>
      <c r="H16" s="91"/>
      <c r="I16" s="91"/>
    </row>
    <row r="17" spans="1:9" x14ac:dyDescent="0.45">
      <c r="A17" s="89"/>
      <c r="B17" s="89"/>
      <c r="C17" s="89"/>
      <c r="D17" s="89"/>
      <c r="E17" s="89"/>
      <c r="F17" s="91"/>
      <c r="G17" s="91"/>
      <c r="H17" s="91"/>
      <c r="I17" s="91"/>
    </row>
    <row r="18" spans="1:9" x14ac:dyDescent="0.45">
      <c r="A18" s="89"/>
      <c r="B18" s="96" t="s">
        <v>21</v>
      </c>
      <c r="C18" s="97" t="s">
        <v>22</v>
      </c>
      <c r="D18" s="98" t="s">
        <v>23</v>
      </c>
      <c r="E18" s="98" t="s">
        <v>24</v>
      </c>
      <c r="F18" s="98" t="s">
        <v>25</v>
      </c>
      <c r="G18" s="98" t="s">
        <v>55</v>
      </c>
      <c r="H18" s="98" t="s">
        <v>53</v>
      </c>
      <c r="I18" s="98" t="s">
        <v>54</v>
      </c>
    </row>
    <row r="19" spans="1:9" x14ac:dyDescent="0.45">
      <c r="A19" s="19"/>
      <c r="B19" s="20"/>
      <c r="C19" s="20"/>
      <c r="D19" s="99" t="e">
        <f>B72</f>
        <v>#DIV/0!</v>
      </c>
      <c r="E19" s="100" t="e">
        <f>C72</f>
        <v>#DIV/0!</v>
      </c>
      <c r="F19" s="101" t="e">
        <f>IF(AND(B19&lt;D19,C19&lt;E19),"Blue",(IF(AND(B19&lt;D19,C19&gt;E19),"Red",(IF(AND(B19&gt;D19,C19&gt;E19),"Green",(IF(AND(B19&gt;D19,C19&lt;E19),"Yellow")))))))</f>
        <v>#DIV/0!</v>
      </c>
      <c r="G19" s="108"/>
      <c r="H19" s="108"/>
      <c r="I19" s="108"/>
    </row>
    <row r="20" spans="1:9" x14ac:dyDescent="0.45">
      <c r="A20" s="19"/>
      <c r="B20" s="20"/>
      <c r="C20" s="20"/>
      <c r="D20" s="99" t="e">
        <f>B72</f>
        <v>#DIV/0!</v>
      </c>
      <c r="E20" s="100" t="e">
        <f>C72</f>
        <v>#DIV/0!</v>
      </c>
      <c r="F20" s="101" t="e">
        <f t="shared" ref="F20:F68" si="0">IF(AND(B20&lt;D20,C20&lt;E20),"Blue",(IF(AND(B20&lt;D20,C20&gt;E20),"Red",(IF(AND(B20&gt;D20,C20&gt;E20),"Green",(IF(AND(B20&gt;D20,C20&lt;E20),"Yellow")))))))</f>
        <v>#DIV/0!</v>
      </c>
      <c r="G20" s="108"/>
      <c r="H20" s="108"/>
      <c r="I20" s="108"/>
    </row>
    <row r="21" spans="1:9" x14ac:dyDescent="0.45">
      <c r="A21" s="19"/>
      <c r="B21" s="20"/>
      <c r="C21" s="20"/>
      <c r="D21" s="99" t="e">
        <f>B72</f>
        <v>#DIV/0!</v>
      </c>
      <c r="E21" s="100" t="e">
        <f>C72</f>
        <v>#DIV/0!</v>
      </c>
      <c r="F21" s="101" t="e">
        <f t="shared" si="0"/>
        <v>#DIV/0!</v>
      </c>
      <c r="G21" s="108"/>
      <c r="H21" s="108"/>
      <c r="I21" s="108"/>
    </row>
    <row r="22" spans="1:9" x14ac:dyDescent="0.45">
      <c r="A22" s="19"/>
      <c r="B22" s="20"/>
      <c r="C22" s="20"/>
      <c r="D22" s="99" t="e">
        <f>B72</f>
        <v>#DIV/0!</v>
      </c>
      <c r="E22" s="100" t="e">
        <f>C72</f>
        <v>#DIV/0!</v>
      </c>
      <c r="F22" s="101" t="e">
        <f t="shared" si="0"/>
        <v>#DIV/0!</v>
      </c>
      <c r="G22" s="108"/>
      <c r="H22" s="108"/>
      <c r="I22" s="108"/>
    </row>
    <row r="23" spans="1:9" x14ac:dyDescent="0.45">
      <c r="A23" s="19"/>
      <c r="B23" s="20"/>
      <c r="C23" s="20"/>
      <c r="D23" s="99" t="e">
        <f>B72</f>
        <v>#DIV/0!</v>
      </c>
      <c r="E23" s="100" t="e">
        <f>C72</f>
        <v>#DIV/0!</v>
      </c>
      <c r="F23" s="101" t="e">
        <f>IF(AND(B23&lt;D23,C23&lt;E23),"Blue",(IF(AND(B23&lt;D23,C23&gt;E23),"Red",(IF(AND(B23&gt;D23,C23&gt;E23),"Green",(IF(AND(B23&gt;D23,C23&lt;E23),"Yellow")))))))</f>
        <v>#DIV/0!</v>
      </c>
      <c r="G23" s="108"/>
      <c r="H23" s="108"/>
      <c r="I23" s="108"/>
    </row>
    <row r="24" spans="1:9" x14ac:dyDescent="0.45">
      <c r="A24" s="19"/>
      <c r="B24" s="20"/>
      <c r="C24" s="20"/>
      <c r="D24" s="99" t="e">
        <f>B72</f>
        <v>#DIV/0!</v>
      </c>
      <c r="E24" s="100" t="e">
        <f>C72</f>
        <v>#DIV/0!</v>
      </c>
      <c r="F24" s="101" t="e">
        <f t="shared" si="0"/>
        <v>#DIV/0!</v>
      </c>
      <c r="G24" s="108"/>
      <c r="H24" s="108"/>
      <c r="I24" s="108"/>
    </row>
    <row r="25" spans="1:9" x14ac:dyDescent="0.45">
      <c r="A25" s="19"/>
      <c r="B25" s="20"/>
      <c r="C25" s="20"/>
      <c r="D25" s="99" t="e">
        <f>B72</f>
        <v>#DIV/0!</v>
      </c>
      <c r="E25" s="100" t="e">
        <f>C72</f>
        <v>#DIV/0!</v>
      </c>
      <c r="F25" s="101" t="e">
        <f t="shared" si="0"/>
        <v>#DIV/0!</v>
      </c>
      <c r="G25" s="108"/>
      <c r="H25" s="108"/>
      <c r="I25" s="108"/>
    </row>
    <row r="26" spans="1:9" x14ac:dyDescent="0.45">
      <c r="A26" s="19"/>
      <c r="B26" s="20"/>
      <c r="C26" s="20"/>
      <c r="D26" s="99" t="e">
        <f>B72</f>
        <v>#DIV/0!</v>
      </c>
      <c r="E26" s="100" t="e">
        <f>C72</f>
        <v>#DIV/0!</v>
      </c>
      <c r="F26" s="101" t="e">
        <f t="shared" si="0"/>
        <v>#DIV/0!</v>
      </c>
      <c r="G26" s="108"/>
      <c r="H26" s="108"/>
      <c r="I26" s="108"/>
    </row>
    <row r="27" spans="1:9" x14ac:dyDescent="0.45">
      <c r="A27" s="19"/>
      <c r="B27" s="20"/>
      <c r="C27" s="20"/>
      <c r="D27" s="99" t="e">
        <f>B72</f>
        <v>#DIV/0!</v>
      </c>
      <c r="E27" s="100" t="e">
        <f>C72</f>
        <v>#DIV/0!</v>
      </c>
      <c r="F27" s="101" t="e">
        <f t="shared" si="0"/>
        <v>#DIV/0!</v>
      </c>
      <c r="G27" s="108"/>
      <c r="H27" s="108"/>
      <c r="I27" s="108"/>
    </row>
    <row r="28" spans="1:9" x14ac:dyDescent="0.45">
      <c r="A28" s="19"/>
      <c r="B28" s="20"/>
      <c r="C28" s="20"/>
      <c r="D28" s="99" t="e">
        <f>B72</f>
        <v>#DIV/0!</v>
      </c>
      <c r="E28" s="100" t="e">
        <f>C72</f>
        <v>#DIV/0!</v>
      </c>
      <c r="F28" s="101" t="e">
        <f t="shared" si="0"/>
        <v>#DIV/0!</v>
      </c>
      <c r="G28" s="108"/>
      <c r="H28" s="108"/>
      <c r="I28" s="108"/>
    </row>
    <row r="29" spans="1:9" x14ac:dyDescent="0.45">
      <c r="A29" s="19"/>
      <c r="B29" s="20"/>
      <c r="C29" s="20"/>
      <c r="D29" s="99" t="e">
        <f>B72</f>
        <v>#DIV/0!</v>
      </c>
      <c r="E29" s="100" t="e">
        <f>C72</f>
        <v>#DIV/0!</v>
      </c>
      <c r="F29" s="101" t="e">
        <f t="shared" si="0"/>
        <v>#DIV/0!</v>
      </c>
      <c r="G29" s="108"/>
      <c r="H29" s="108"/>
      <c r="I29" s="108"/>
    </row>
    <row r="30" spans="1:9" x14ac:dyDescent="0.45">
      <c r="A30" s="19"/>
      <c r="B30" s="20"/>
      <c r="C30" s="20"/>
      <c r="D30" s="99" t="e">
        <f>B72</f>
        <v>#DIV/0!</v>
      </c>
      <c r="E30" s="100" t="e">
        <f>C72</f>
        <v>#DIV/0!</v>
      </c>
      <c r="F30" s="101" t="e">
        <f t="shared" si="0"/>
        <v>#DIV/0!</v>
      </c>
      <c r="G30" s="108"/>
      <c r="H30" s="108"/>
      <c r="I30" s="108"/>
    </row>
    <row r="31" spans="1:9" x14ac:dyDescent="0.45">
      <c r="A31" s="19"/>
      <c r="B31" s="20"/>
      <c r="C31" s="20"/>
      <c r="D31" s="99" t="e">
        <f>B72</f>
        <v>#DIV/0!</v>
      </c>
      <c r="E31" s="100" t="e">
        <f>C72</f>
        <v>#DIV/0!</v>
      </c>
      <c r="F31" s="101" t="e">
        <f t="shared" si="0"/>
        <v>#DIV/0!</v>
      </c>
      <c r="G31" s="108"/>
      <c r="H31" s="108"/>
      <c r="I31" s="108"/>
    </row>
    <row r="32" spans="1:9" x14ac:dyDescent="0.45">
      <c r="A32" s="19"/>
      <c r="B32" s="20"/>
      <c r="C32" s="20"/>
      <c r="D32" s="99" t="e">
        <f>B72</f>
        <v>#DIV/0!</v>
      </c>
      <c r="E32" s="100" t="e">
        <f>C72</f>
        <v>#DIV/0!</v>
      </c>
      <c r="F32" s="101" t="e">
        <f t="shared" si="0"/>
        <v>#DIV/0!</v>
      </c>
      <c r="G32" s="108"/>
      <c r="H32" s="108"/>
      <c r="I32" s="108"/>
    </row>
    <row r="33" spans="1:9" x14ac:dyDescent="0.45">
      <c r="A33" s="19"/>
      <c r="B33" s="20"/>
      <c r="C33" s="20"/>
      <c r="D33" s="99" t="e">
        <f>B72</f>
        <v>#DIV/0!</v>
      </c>
      <c r="E33" s="100" t="e">
        <f>C72</f>
        <v>#DIV/0!</v>
      </c>
      <c r="F33" s="101" t="e">
        <f t="shared" si="0"/>
        <v>#DIV/0!</v>
      </c>
      <c r="G33" s="108"/>
      <c r="H33" s="108"/>
      <c r="I33" s="108"/>
    </row>
    <row r="34" spans="1:9" x14ac:dyDescent="0.45">
      <c r="A34" s="19"/>
      <c r="B34" s="20"/>
      <c r="C34" s="20"/>
      <c r="D34" s="99" t="e">
        <f>B72</f>
        <v>#DIV/0!</v>
      </c>
      <c r="E34" s="100" t="e">
        <f>C72</f>
        <v>#DIV/0!</v>
      </c>
      <c r="F34" s="101" t="e">
        <f t="shared" si="0"/>
        <v>#DIV/0!</v>
      </c>
      <c r="G34" s="108"/>
      <c r="H34" s="108"/>
      <c r="I34" s="108"/>
    </row>
    <row r="35" spans="1:9" x14ac:dyDescent="0.45">
      <c r="A35" s="19"/>
      <c r="B35" s="20"/>
      <c r="C35" s="20"/>
      <c r="D35" s="99" t="e">
        <f>B72</f>
        <v>#DIV/0!</v>
      </c>
      <c r="E35" s="100" t="e">
        <f>C72</f>
        <v>#DIV/0!</v>
      </c>
      <c r="F35" s="101" t="e">
        <f t="shared" si="0"/>
        <v>#DIV/0!</v>
      </c>
      <c r="G35" s="108"/>
      <c r="H35" s="108"/>
      <c r="I35" s="108"/>
    </row>
    <row r="36" spans="1:9" x14ac:dyDescent="0.45">
      <c r="A36" s="19"/>
      <c r="B36" s="20"/>
      <c r="C36" s="20"/>
      <c r="D36" s="99" t="e">
        <f>B72</f>
        <v>#DIV/0!</v>
      </c>
      <c r="E36" s="100" t="e">
        <f>C72</f>
        <v>#DIV/0!</v>
      </c>
      <c r="F36" s="101" t="e">
        <f t="shared" si="0"/>
        <v>#DIV/0!</v>
      </c>
      <c r="G36" s="108"/>
      <c r="H36" s="108"/>
      <c r="I36" s="108"/>
    </row>
    <row r="37" spans="1:9" x14ac:dyDescent="0.45">
      <c r="A37" s="19"/>
      <c r="B37" s="20"/>
      <c r="C37" s="20"/>
      <c r="D37" s="99" t="e">
        <f>B72</f>
        <v>#DIV/0!</v>
      </c>
      <c r="E37" s="100" t="e">
        <f>C72</f>
        <v>#DIV/0!</v>
      </c>
      <c r="F37" s="101" t="e">
        <f t="shared" si="0"/>
        <v>#DIV/0!</v>
      </c>
      <c r="G37" s="108"/>
      <c r="H37" s="108"/>
      <c r="I37" s="108"/>
    </row>
    <row r="38" spans="1:9" x14ac:dyDescent="0.45">
      <c r="A38" s="19"/>
      <c r="B38" s="20"/>
      <c r="C38" s="20"/>
      <c r="D38" s="99" t="e">
        <f>B72</f>
        <v>#DIV/0!</v>
      </c>
      <c r="E38" s="100" t="e">
        <f>C72</f>
        <v>#DIV/0!</v>
      </c>
      <c r="F38" s="101" t="e">
        <f t="shared" si="0"/>
        <v>#DIV/0!</v>
      </c>
      <c r="G38" s="108"/>
      <c r="H38" s="108"/>
      <c r="I38" s="108"/>
    </row>
    <row r="39" spans="1:9" x14ac:dyDescent="0.45">
      <c r="A39" s="19"/>
      <c r="B39" s="20"/>
      <c r="C39" s="20"/>
      <c r="D39" s="99" t="e">
        <f>B72</f>
        <v>#DIV/0!</v>
      </c>
      <c r="E39" s="100" t="e">
        <f>C72</f>
        <v>#DIV/0!</v>
      </c>
      <c r="F39" s="101" t="e">
        <f t="shared" si="0"/>
        <v>#DIV/0!</v>
      </c>
      <c r="G39" s="108"/>
      <c r="H39" s="108"/>
      <c r="I39" s="108"/>
    </row>
    <row r="40" spans="1:9" x14ac:dyDescent="0.45">
      <c r="A40" s="19"/>
      <c r="B40" s="20"/>
      <c r="C40" s="20"/>
      <c r="D40" s="99" t="e">
        <f>B72</f>
        <v>#DIV/0!</v>
      </c>
      <c r="E40" s="100" t="e">
        <f>C72</f>
        <v>#DIV/0!</v>
      </c>
      <c r="F40" s="101" t="e">
        <f t="shared" si="0"/>
        <v>#DIV/0!</v>
      </c>
      <c r="G40" s="108"/>
      <c r="H40" s="108"/>
      <c r="I40" s="108"/>
    </row>
    <row r="41" spans="1:9" x14ac:dyDescent="0.45">
      <c r="A41" s="19"/>
      <c r="B41" s="20"/>
      <c r="C41" s="20"/>
      <c r="D41" s="99" t="e">
        <f>B72</f>
        <v>#DIV/0!</v>
      </c>
      <c r="E41" s="100" t="e">
        <f>C72</f>
        <v>#DIV/0!</v>
      </c>
      <c r="F41" s="101" t="e">
        <f t="shared" si="0"/>
        <v>#DIV/0!</v>
      </c>
      <c r="G41" s="108"/>
      <c r="H41" s="108"/>
      <c r="I41" s="108"/>
    </row>
    <row r="42" spans="1:9" x14ac:dyDescent="0.45">
      <c r="A42" s="19"/>
      <c r="B42" s="20"/>
      <c r="C42" s="20"/>
      <c r="D42" s="99" t="e">
        <f>B72</f>
        <v>#DIV/0!</v>
      </c>
      <c r="E42" s="100" t="e">
        <f>C72</f>
        <v>#DIV/0!</v>
      </c>
      <c r="F42" s="101" t="e">
        <f t="shared" si="0"/>
        <v>#DIV/0!</v>
      </c>
      <c r="G42" s="108"/>
      <c r="H42" s="108"/>
      <c r="I42" s="108"/>
    </row>
    <row r="43" spans="1:9" x14ac:dyDescent="0.45">
      <c r="A43" s="19"/>
      <c r="B43" s="20"/>
      <c r="C43" s="20"/>
      <c r="D43" s="99" t="e">
        <f>B72</f>
        <v>#DIV/0!</v>
      </c>
      <c r="E43" s="100" t="e">
        <f>C72</f>
        <v>#DIV/0!</v>
      </c>
      <c r="F43" s="101" t="e">
        <f t="shared" si="0"/>
        <v>#DIV/0!</v>
      </c>
      <c r="G43" s="108"/>
      <c r="H43" s="108"/>
      <c r="I43" s="108"/>
    </row>
    <row r="44" spans="1:9" x14ac:dyDescent="0.45">
      <c r="A44" s="19"/>
      <c r="B44" s="20"/>
      <c r="C44" s="20"/>
      <c r="D44" s="99" t="e">
        <f>B72</f>
        <v>#DIV/0!</v>
      </c>
      <c r="E44" s="100" t="e">
        <f>C72</f>
        <v>#DIV/0!</v>
      </c>
      <c r="F44" s="101" t="e">
        <f t="shared" si="0"/>
        <v>#DIV/0!</v>
      </c>
      <c r="G44" s="108"/>
      <c r="H44" s="108"/>
      <c r="I44" s="108"/>
    </row>
    <row r="45" spans="1:9" x14ac:dyDescent="0.45">
      <c r="A45" s="19"/>
      <c r="B45" s="20"/>
      <c r="C45" s="20"/>
      <c r="D45" s="99" t="e">
        <f>B72</f>
        <v>#DIV/0!</v>
      </c>
      <c r="E45" s="100" t="e">
        <f>C72</f>
        <v>#DIV/0!</v>
      </c>
      <c r="F45" s="101" t="e">
        <f t="shared" si="0"/>
        <v>#DIV/0!</v>
      </c>
      <c r="G45" s="108"/>
      <c r="H45" s="108"/>
      <c r="I45" s="108"/>
    </row>
    <row r="46" spans="1:9" x14ac:dyDescent="0.45">
      <c r="A46" s="19"/>
      <c r="B46" s="20"/>
      <c r="C46" s="20"/>
      <c r="D46" s="99" t="e">
        <f>B72</f>
        <v>#DIV/0!</v>
      </c>
      <c r="E46" s="100" t="e">
        <f>C72</f>
        <v>#DIV/0!</v>
      </c>
      <c r="F46" s="101" t="e">
        <f t="shared" si="0"/>
        <v>#DIV/0!</v>
      </c>
      <c r="G46" s="108"/>
      <c r="H46" s="108"/>
      <c r="I46" s="108"/>
    </row>
    <row r="47" spans="1:9" x14ac:dyDescent="0.45">
      <c r="A47" s="19"/>
      <c r="B47" s="20"/>
      <c r="C47" s="20"/>
      <c r="D47" s="99" t="e">
        <f>B72</f>
        <v>#DIV/0!</v>
      </c>
      <c r="E47" s="100" t="e">
        <f>C72</f>
        <v>#DIV/0!</v>
      </c>
      <c r="F47" s="101" t="e">
        <f t="shared" si="0"/>
        <v>#DIV/0!</v>
      </c>
      <c r="G47" s="108"/>
      <c r="H47" s="108"/>
      <c r="I47" s="108"/>
    </row>
    <row r="48" spans="1:9" x14ac:dyDescent="0.45">
      <c r="A48" s="19"/>
      <c r="B48" s="20"/>
      <c r="C48" s="20"/>
      <c r="D48" s="99" t="e">
        <f>B72</f>
        <v>#DIV/0!</v>
      </c>
      <c r="E48" s="100" t="e">
        <f>C72</f>
        <v>#DIV/0!</v>
      </c>
      <c r="F48" s="101" t="e">
        <f t="shared" si="0"/>
        <v>#DIV/0!</v>
      </c>
      <c r="G48" s="108"/>
      <c r="H48" s="108"/>
      <c r="I48" s="108"/>
    </row>
    <row r="49" spans="1:9" x14ac:dyDescent="0.45">
      <c r="A49" s="19"/>
      <c r="B49" s="20"/>
      <c r="C49" s="20"/>
      <c r="D49" s="99" t="e">
        <f>B72</f>
        <v>#DIV/0!</v>
      </c>
      <c r="E49" s="100" t="e">
        <f>C72</f>
        <v>#DIV/0!</v>
      </c>
      <c r="F49" s="101" t="e">
        <f t="shared" si="0"/>
        <v>#DIV/0!</v>
      </c>
      <c r="G49" s="108"/>
      <c r="H49" s="108"/>
      <c r="I49" s="108"/>
    </row>
    <row r="50" spans="1:9" x14ac:dyDescent="0.45">
      <c r="A50" s="19"/>
      <c r="B50" s="20"/>
      <c r="C50" s="20"/>
      <c r="D50" s="99" t="e">
        <f>B72</f>
        <v>#DIV/0!</v>
      </c>
      <c r="E50" s="100" t="e">
        <f>C72</f>
        <v>#DIV/0!</v>
      </c>
      <c r="F50" s="101" t="e">
        <f t="shared" si="0"/>
        <v>#DIV/0!</v>
      </c>
      <c r="G50" s="108"/>
      <c r="H50" s="108"/>
      <c r="I50" s="108"/>
    </row>
    <row r="51" spans="1:9" x14ac:dyDescent="0.45">
      <c r="A51" s="19"/>
      <c r="B51" s="20"/>
      <c r="C51" s="20"/>
      <c r="D51" s="99" t="e">
        <f>B72</f>
        <v>#DIV/0!</v>
      </c>
      <c r="E51" s="100" t="e">
        <f>C72</f>
        <v>#DIV/0!</v>
      </c>
      <c r="F51" s="101" t="e">
        <f t="shared" si="0"/>
        <v>#DIV/0!</v>
      </c>
      <c r="G51" s="108"/>
      <c r="H51" s="108"/>
      <c r="I51" s="108"/>
    </row>
    <row r="52" spans="1:9" x14ac:dyDescent="0.45">
      <c r="A52" s="19"/>
      <c r="B52" s="20"/>
      <c r="C52" s="20"/>
      <c r="D52" s="99" t="e">
        <f>B72</f>
        <v>#DIV/0!</v>
      </c>
      <c r="E52" s="100" t="e">
        <f>C72</f>
        <v>#DIV/0!</v>
      </c>
      <c r="F52" s="101" t="e">
        <f t="shared" si="0"/>
        <v>#DIV/0!</v>
      </c>
      <c r="G52" s="108"/>
      <c r="H52" s="108"/>
      <c r="I52" s="108"/>
    </row>
    <row r="53" spans="1:9" x14ac:dyDescent="0.45">
      <c r="A53" s="19"/>
      <c r="B53" s="20"/>
      <c r="C53" s="20"/>
      <c r="D53" s="99" t="e">
        <f>B72</f>
        <v>#DIV/0!</v>
      </c>
      <c r="E53" s="100" t="e">
        <f>C72</f>
        <v>#DIV/0!</v>
      </c>
      <c r="F53" s="101" t="e">
        <f t="shared" si="0"/>
        <v>#DIV/0!</v>
      </c>
      <c r="G53" s="108"/>
      <c r="H53" s="108"/>
      <c r="I53" s="108"/>
    </row>
    <row r="54" spans="1:9" x14ac:dyDescent="0.45">
      <c r="A54" s="102"/>
      <c r="B54" s="103"/>
      <c r="C54" s="104"/>
      <c r="D54" s="99" t="e">
        <f>B72</f>
        <v>#DIV/0!</v>
      </c>
      <c r="E54" s="100" t="e">
        <f>C72</f>
        <v>#DIV/0!</v>
      </c>
      <c r="F54" s="101" t="e">
        <f t="shared" si="0"/>
        <v>#DIV/0!</v>
      </c>
      <c r="G54" s="108"/>
      <c r="H54" s="108"/>
      <c r="I54" s="108"/>
    </row>
    <row r="55" spans="1:9" x14ac:dyDescent="0.45">
      <c r="A55" s="102"/>
      <c r="B55" s="103"/>
      <c r="C55" s="104"/>
      <c r="D55" s="99" t="e">
        <f>B72</f>
        <v>#DIV/0!</v>
      </c>
      <c r="E55" s="100" t="e">
        <f>C72</f>
        <v>#DIV/0!</v>
      </c>
      <c r="F55" s="101" t="e">
        <f t="shared" si="0"/>
        <v>#DIV/0!</v>
      </c>
      <c r="G55" s="108"/>
      <c r="H55" s="108"/>
      <c r="I55" s="108"/>
    </row>
    <row r="56" spans="1:9" x14ac:dyDescent="0.45">
      <c r="A56" s="102"/>
      <c r="B56" s="103"/>
      <c r="C56" s="104"/>
      <c r="D56" s="99" t="e">
        <f>B72</f>
        <v>#DIV/0!</v>
      </c>
      <c r="E56" s="100" t="e">
        <f>C72</f>
        <v>#DIV/0!</v>
      </c>
      <c r="F56" s="101" t="e">
        <f t="shared" si="0"/>
        <v>#DIV/0!</v>
      </c>
      <c r="G56" s="108"/>
      <c r="H56" s="108"/>
      <c r="I56" s="108"/>
    </row>
    <row r="57" spans="1:9" x14ac:dyDescent="0.45">
      <c r="A57" s="102"/>
      <c r="B57" s="103"/>
      <c r="C57" s="104"/>
      <c r="D57" s="99" t="e">
        <f>B72</f>
        <v>#DIV/0!</v>
      </c>
      <c r="E57" s="100" t="e">
        <f>C72</f>
        <v>#DIV/0!</v>
      </c>
      <c r="F57" s="101" t="e">
        <f t="shared" si="0"/>
        <v>#DIV/0!</v>
      </c>
      <c r="G57" s="108"/>
      <c r="H57" s="108"/>
      <c r="I57" s="108"/>
    </row>
    <row r="58" spans="1:9" x14ac:dyDescent="0.45">
      <c r="A58" s="102"/>
      <c r="B58" s="103"/>
      <c r="C58" s="104"/>
      <c r="D58" s="99" t="e">
        <f>B72</f>
        <v>#DIV/0!</v>
      </c>
      <c r="E58" s="100" t="e">
        <f>C72</f>
        <v>#DIV/0!</v>
      </c>
      <c r="F58" s="101" t="e">
        <f t="shared" si="0"/>
        <v>#DIV/0!</v>
      </c>
      <c r="G58" s="108"/>
      <c r="H58" s="108"/>
      <c r="I58" s="108"/>
    </row>
    <row r="59" spans="1:9" x14ac:dyDescent="0.45">
      <c r="A59" s="102"/>
      <c r="B59" s="103"/>
      <c r="C59" s="104"/>
      <c r="D59" s="99" t="e">
        <f>B72</f>
        <v>#DIV/0!</v>
      </c>
      <c r="E59" s="100" t="e">
        <f>C72</f>
        <v>#DIV/0!</v>
      </c>
      <c r="F59" s="101" t="e">
        <f t="shared" si="0"/>
        <v>#DIV/0!</v>
      </c>
      <c r="G59" s="108"/>
      <c r="H59" s="108"/>
      <c r="I59" s="108"/>
    </row>
    <row r="60" spans="1:9" x14ac:dyDescent="0.45">
      <c r="A60" s="102"/>
      <c r="B60" s="103"/>
      <c r="C60" s="104"/>
      <c r="D60" s="99" t="e">
        <f>B72</f>
        <v>#DIV/0!</v>
      </c>
      <c r="E60" s="100" t="e">
        <f>C72</f>
        <v>#DIV/0!</v>
      </c>
      <c r="F60" s="101" t="e">
        <f t="shared" si="0"/>
        <v>#DIV/0!</v>
      </c>
      <c r="G60" s="108"/>
      <c r="H60" s="108"/>
      <c r="I60" s="108"/>
    </row>
    <row r="61" spans="1:9" x14ac:dyDescent="0.45">
      <c r="A61" s="102"/>
      <c r="B61" s="103"/>
      <c r="C61" s="104"/>
      <c r="D61" s="99" t="e">
        <f>B72</f>
        <v>#DIV/0!</v>
      </c>
      <c r="E61" s="100" t="e">
        <f>C72</f>
        <v>#DIV/0!</v>
      </c>
      <c r="F61" s="101" t="e">
        <f t="shared" si="0"/>
        <v>#DIV/0!</v>
      </c>
      <c r="G61" s="108"/>
      <c r="H61" s="108"/>
      <c r="I61" s="108"/>
    </row>
    <row r="62" spans="1:9" x14ac:dyDescent="0.45">
      <c r="A62" s="102"/>
      <c r="B62" s="103"/>
      <c r="C62" s="104"/>
      <c r="D62" s="99" t="e">
        <f>B72</f>
        <v>#DIV/0!</v>
      </c>
      <c r="E62" s="100" t="e">
        <f>C72</f>
        <v>#DIV/0!</v>
      </c>
      <c r="F62" s="101" t="e">
        <f t="shared" si="0"/>
        <v>#DIV/0!</v>
      </c>
      <c r="G62" s="108"/>
      <c r="H62" s="108"/>
      <c r="I62" s="108"/>
    </row>
    <row r="63" spans="1:9" x14ac:dyDescent="0.45">
      <c r="A63" s="102"/>
      <c r="B63" s="103"/>
      <c r="C63" s="104"/>
      <c r="D63" s="99" t="e">
        <f>B72</f>
        <v>#DIV/0!</v>
      </c>
      <c r="E63" s="100" t="e">
        <f>C72</f>
        <v>#DIV/0!</v>
      </c>
      <c r="F63" s="101" t="e">
        <f t="shared" si="0"/>
        <v>#DIV/0!</v>
      </c>
      <c r="G63" s="108"/>
      <c r="H63" s="108"/>
      <c r="I63" s="108"/>
    </row>
    <row r="64" spans="1:9" x14ac:dyDescent="0.45">
      <c r="A64" s="102"/>
      <c r="B64" s="103"/>
      <c r="C64" s="104"/>
      <c r="D64" s="99" t="e">
        <f>B72</f>
        <v>#DIV/0!</v>
      </c>
      <c r="E64" s="100" t="e">
        <f>C72</f>
        <v>#DIV/0!</v>
      </c>
      <c r="F64" s="101" t="e">
        <f t="shared" si="0"/>
        <v>#DIV/0!</v>
      </c>
      <c r="G64" s="108"/>
      <c r="H64" s="108"/>
      <c r="I64" s="108"/>
    </row>
    <row r="65" spans="1:9" x14ac:dyDescent="0.45">
      <c r="A65" s="102"/>
      <c r="B65" s="103"/>
      <c r="C65" s="104"/>
      <c r="D65" s="99" t="e">
        <f>B72</f>
        <v>#DIV/0!</v>
      </c>
      <c r="E65" s="100" t="e">
        <f>C72</f>
        <v>#DIV/0!</v>
      </c>
      <c r="F65" s="101" t="e">
        <f t="shared" si="0"/>
        <v>#DIV/0!</v>
      </c>
      <c r="G65" s="108"/>
      <c r="H65" s="108"/>
      <c r="I65" s="108"/>
    </row>
    <row r="66" spans="1:9" x14ac:dyDescent="0.45">
      <c r="A66" s="102"/>
      <c r="B66" s="103"/>
      <c r="C66" s="104"/>
      <c r="D66" s="99" t="e">
        <f>B72</f>
        <v>#DIV/0!</v>
      </c>
      <c r="E66" s="100" t="e">
        <f>C72</f>
        <v>#DIV/0!</v>
      </c>
      <c r="F66" s="101" t="e">
        <f t="shared" si="0"/>
        <v>#DIV/0!</v>
      </c>
      <c r="G66" s="108"/>
      <c r="H66" s="108"/>
      <c r="I66" s="108"/>
    </row>
    <row r="67" spans="1:9" x14ac:dyDescent="0.45">
      <c r="A67" s="102"/>
      <c r="B67" s="103"/>
      <c r="C67" s="104"/>
      <c r="D67" s="99" t="e">
        <f>B72</f>
        <v>#DIV/0!</v>
      </c>
      <c r="E67" s="100" t="e">
        <f>C72</f>
        <v>#DIV/0!</v>
      </c>
      <c r="F67" s="101" t="e">
        <f t="shared" si="0"/>
        <v>#DIV/0!</v>
      </c>
      <c r="G67" s="108"/>
      <c r="H67" s="108"/>
      <c r="I67" s="108"/>
    </row>
    <row r="68" spans="1:9" x14ac:dyDescent="0.45">
      <c r="A68" s="102"/>
      <c r="B68" s="103"/>
      <c r="C68" s="104"/>
      <c r="D68" s="99" t="e">
        <f>B72</f>
        <v>#DIV/0!</v>
      </c>
      <c r="E68" s="100" t="e">
        <f>C72</f>
        <v>#DIV/0!</v>
      </c>
      <c r="F68" s="101" t="e">
        <f t="shared" si="0"/>
        <v>#DIV/0!</v>
      </c>
      <c r="G68" s="108"/>
      <c r="H68" s="108"/>
      <c r="I68" s="108"/>
    </row>
    <row r="69" spans="1:9" x14ac:dyDescent="0.45">
      <c r="A69" s="105"/>
      <c r="B69" s="106"/>
      <c r="C69" s="107"/>
      <c r="D69" s="99"/>
      <c r="E69" s="100"/>
      <c r="F69" s="108"/>
      <c r="G69" s="108"/>
      <c r="H69" s="108"/>
      <c r="I69" s="108"/>
    </row>
    <row r="70" spans="1:9" x14ac:dyDescent="0.45">
      <c r="A70" s="105"/>
      <c r="B70" s="106"/>
      <c r="C70" s="107"/>
      <c r="D70" s="99"/>
      <c r="E70" s="100"/>
      <c r="F70" s="108"/>
      <c r="G70" s="108"/>
      <c r="H70" s="108"/>
      <c r="I70" s="108"/>
    </row>
    <row r="71" spans="1:9" x14ac:dyDescent="0.45">
      <c r="A71" s="105"/>
      <c r="B71" s="106"/>
      <c r="C71" s="107"/>
      <c r="D71" s="99"/>
      <c r="E71" s="100"/>
      <c r="F71" s="108"/>
      <c r="G71" s="108"/>
      <c r="H71" s="108"/>
      <c r="I71" s="108"/>
    </row>
    <row r="72" spans="1:9" x14ac:dyDescent="0.45">
      <c r="A72" s="109" t="s">
        <v>26</v>
      </c>
      <c r="B72" s="110" t="e">
        <f>AVERAGE(B19:B68)</f>
        <v>#DIV/0!</v>
      </c>
      <c r="C72" s="110" t="e">
        <f>AVERAGE(C19:C68)</f>
        <v>#DIV/0!</v>
      </c>
      <c r="D72" s="99"/>
      <c r="E72" s="100"/>
    </row>
    <row r="73" spans="1:9" x14ac:dyDescent="0.45">
      <c r="A73" s="109" t="s">
        <v>27</v>
      </c>
      <c r="B73" s="110" t="e">
        <f>B72-1.1*(MAX(MAX(B19:B68)-B72,B72-MIN(B19:B68)))</f>
        <v>#DIV/0!</v>
      </c>
      <c r="C73" s="110" t="e">
        <f>C72-1.18*(MAX(MAX(C19:C68)-C72,C72-MIN(C19:C68)))</f>
        <v>#DIV/0!</v>
      </c>
      <c r="D73" s="99"/>
    </row>
    <row r="74" spans="1:9" x14ac:dyDescent="0.45">
      <c r="A74" s="109" t="s">
        <v>28</v>
      </c>
      <c r="B74" s="110" t="e">
        <f>B72+1.1*(MAX(MAX(B19:B68)-B72,B72-MIN(B19:B68)))</f>
        <v>#DIV/0!</v>
      </c>
      <c r="C74" s="110" t="e">
        <f>C72+1.18*(MAX(MAX(C19:C68)-C72,C72-MIN(C19:C68)))</f>
        <v>#DIV/0!</v>
      </c>
      <c r="D74" s="99"/>
    </row>
    <row r="75" spans="1:9" x14ac:dyDescent="0.45">
      <c r="D75" s="99"/>
    </row>
    <row r="76" spans="1:9" x14ac:dyDescent="0.45">
      <c r="B76" s="89"/>
      <c r="C76" s="89"/>
      <c r="D76" s="89"/>
    </row>
    <row r="77" spans="1:9" x14ac:dyDescent="0.45">
      <c r="B77" s="89"/>
      <c r="C77" s="89"/>
      <c r="D77" s="89"/>
    </row>
    <row r="78" spans="1:9" x14ac:dyDescent="0.45">
      <c r="D78" s="99"/>
    </row>
    <row r="79" spans="1:9" x14ac:dyDescent="0.45">
      <c r="D79" s="99"/>
    </row>
    <row r="80" spans="1:9" x14ac:dyDescent="0.45">
      <c r="D80" s="99"/>
    </row>
    <row r="81" spans="4:4" x14ac:dyDescent="0.45">
      <c r="D81" s="99"/>
    </row>
    <row r="82" spans="4:4" x14ac:dyDescent="0.45">
      <c r="D82" s="99"/>
    </row>
    <row r="83" spans="4:4" x14ac:dyDescent="0.45">
      <c r="D83" s="9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9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99BE0-EBE0-44B9-9C61-3EE9A0C53DAF}">
  <sheetPr codeName="Sheet6"/>
  <dimension ref="A1:J83"/>
  <sheetViews>
    <sheetView zoomScale="85" zoomScaleNormal="85" workbookViewId="0">
      <selection activeCell="G18" sqref="G18:I18"/>
    </sheetView>
  </sheetViews>
  <sheetFormatPr defaultColWidth="8.75" defaultRowHeight="16.5" x14ac:dyDescent="0.45"/>
  <cols>
    <col min="1" max="1" width="38.25" customWidth="1"/>
    <col min="4" max="9" width="15.58203125" customWidth="1"/>
    <col min="10" max="10" width="158.33203125" customWidth="1"/>
    <col min="12" max="12" width="147.33203125" customWidth="1"/>
  </cols>
  <sheetData>
    <row r="1" spans="1:10" x14ac:dyDescent="0.45">
      <c r="A1" s="88" t="s">
        <v>0</v>
      </c>
      <c r="B1" s="89"/>
      <c r="C1" s="89"/>
      <c r="D1" s="89"/>
      <c r="E1" s="90"/>
      <c r="F1" s="91"/>
      <c r="G1" s="91"/>
      <c r="H1" s="91"/>
      <c r="I1" s="91"/>
    </row>
    <row r="2" spans="1:10" x14ac:dyDescent="0.45">
      <c r="A2" s="92"/>
      <c r="B2" s="89"/>
      <c r="C2" s="89"/>
      <c r="D2" s="89"/>
      <c r="E2" s="90"/>
      <c r="F2" s="91"/>
      <c r="G2" s="91"/>
      <c r="H2" s="91"/>
      <c r="I2" s="91"/>
    </row>
    <row r="3" spans="1:10" ht="21" x14ac:dyDescent="0.55000000000000004">
      <c r="A3" s="92" t="s">
        <v>1</v>
      </c>
      <c r="B3" s="89"/>
      <c r="C3" s="89"/>
      <c r="D3" s="89"/>
      <c r="E3" s="90"/>
      <c r="F3" s="91"/>
      <c r="G3" s="91"/>
      <c r="H3" s="91"/>
      <c r="I3" s="91"/>
      <c r="J3" s="93" t="s">
        <v>2</v>
      </c>
    </row>
    <row r="4" spans="1:10" ht="21" x14ac:dyDescent="0.55000000000000004">
      <c r="A4" s="92" t="s">
        <v>3</v>
      </c>
      <c r="B4" s="89"/>
      <c r="C4" s="89"/>
      <c r="D4" s="89"/>
      <c r="E4" s="89"/>
      <c r="F4" s="91"/>
      <c r="G4" s="91"/>
      <c r="H4" s="91"/>
      <c r="I4" s="91"/>
      <c r="J4" s="93" t="s">
        <v>4</v>
      </c>
    </row>
    <row r="5" spans="1:10" ht="21" x14ac:dyDescent="0.55000000000000004">
      <c r="A5" s="92"/>
      <c r="B5" s="89"/>
      <c r="C5" s="89"/>
      <c r="D5" s="89"/>
      <c r="E5" s="89"/>
      <c r="F5" s="91"/>
      <c r="G5" s="91"/>
      <c r="H5" s="91"/>
      <c r="I5" s="91"/>
      <c r="J5" s="93" t="s">
        <v>5</v>
      </c>
    </row>
    <row r="6" spans="1:10" ht="21" x14ac:dyDescent="0.55000000000000004">
      <c r="A6" s="92" t="s">
        <v>6</v>
      </c>
      <c r="B6" s="89"/>
      <c r="C6" s="89"/>
      <c r="D6" s="89"/>
      <c r="E6" s="89"/>
      <c r="F6" s="91"/>
      <c r="G6" s="91"/>
      <c r="H6" s="91"/>
      <c r="I6" s="91"/>
      <c r="J6" s="93" t="s">
        <v>7</v>
      </c>
    </row>
    <row r="7" spans="1:10" ht="21" x14ac:dyDescent="0.55000000000000004">
      <c r="A7" s="92"/>
      <c r="B7" s="89"/>
      <c r="C7" s="89"/>
      <c r="D7" s="89"/>
      <c r="E7" s="89"/>
      <c r="F7" s="91"/>
      <c r="G7" s="91"/>
      <c r="H7" s="91"/>
      <c r="I7" s="91"/>
      <c r="J7" s="93"/>
    </row>
    <row r="8" spans="1:10" ht="21" x14ac:dyDescent="0.55000000000000004">
      <c r="A8" s="88" t="s">
        <v>8</v>
      </c>
      <c r="B8" s="89"/>
      <c r="C8" s="89"/>
      <c r="D8" s="89"/>
      <c r="E8" s="89"/>
      <c r="F8" s="91"/>
      <c r="G8" s="91"/>
      <c r="H8" s="91"/>
      <c r="I8" s="91"/>
      <c r="J8" s="93" t="s">
        <v>9</v>
      </c>
    </row>
    <row r="9" spans="1:10" ht="21" x14ac:dyDescent="0.55000000000000004">
      <c r="A9" s="115" t="s">
        <v>10</v>
      </c>
      <c r="B9" s="116" t="s">
        <v>11</v>
      </c>
      <c r="C9" s="89"/>
      <c r="D9" s="89"/>
      <c r="E9" s="89"/>
      <c r="F9" s="91"/>
      <c r="G9" s="91"/>
      <c r="H9" s="91"/>
      <c r="I9" s="91"/>
      <c r="J9" s="94"/>
    </row>
    <row r="10" spans="1:10" ht="21" x14ac:dyDescent="0.55000000000000004">
      <c r="A10" s="115" t="s">
        <v>13</v>
      </c>
      <c r="B10" s="116" t="s">
        <v>14</v>
      </c>
      <c r="C10" s="89"/>
      <c r="D10" s="89"/>
      <c r="E10" s="89"/>
      <c r="F10" s="91"/>
      <c r="G10" s="91"/>
      <c r="H10" s="91"/>
      <c r="I10" s="91"/>
      <c r="J10" s="94"/>
    </row>
    <row r="11" spans="1:10" x14ac:dyDescent="0.45">
      <c r="A11" s="89"/>
      <c r="B11" s="89"/>
      <c r="C11" s="89"/>
      <c r="D11" s="89"/>
      <c r="E11" s="89"/>
      <c r="F11" s="91"/>
      <c r="G11" s="91"/>
      <c r="H11" s="91"/>
      <c r="I11" s="91"/>
    </row>
    <row r="12" spans="1:10" x14ac:dyDescent="0.45">
      <c r="A12" s="88" t="s">
        <v>15</v>
      </c>
      <c r="B12" s="95"/>
      <c r="C12" s="89"/>
      <c r="D12" s="89"/>
      <c r="E12" s="89"/>
      <c r="F12" s="91"/>
      <c r="G12" s="91"/>
      <c r="H12" s="91"/>
      <c r="I12" s="91"/>
    </row>
    <row r="13" spans="1:10" x14ac:dyDescent="0.45">
      <c r="A13" s="115" t="s">
        <v>16</v>
      </c>
      <c r="B13" s="116" t="s">
        <v>17</v>
      </c>
      <c r="C13" s="89"/>
      <c r="D13" s="115" t="s">
        <v>18</v>
      </c>
      <c r="E13" s="116" t="s">
        <v>17</v>
      </c>
      <c r="F13" s="91"/>
      <c r="G13" s="91"/>
      <c r="H13" s="91"/>
      <c r="I13" s="91"/>
    </row>
    <row r="14" spans="1:10" x14ac:dyDescent="0.45">
      <c r="A14" s="115" t="s">
        <v>19</v>
      </c>
      <c r="B14" s="116" t="s">
        <v>17</v>
      </c>
      <c r="C14" s="89"/>
      <c r="D14" s="115" t="s">
        <v>20</v>
      </c>
      <c r="E14" s="116" t="s">
        <v>17</v>
      </c>
      <c r="F14" s="91"/>
      <c r="G14" s="91"/>
      <c r="H14" s="91"/>
      <c r="I14" s="91"/>
    </row>
    <row r="15" spans="1:10" x14ac:dyDescent="0.45">
      <c r="A15" s="89"/>
      <c r="B15" s="89"/>
      <c r="C15" s="89"/>
      <c r="D15" s="89"/>
      <c r="E15" s="89"/>
      <c r="F15" s="91"/>
      <c r="G15" s="91"/>
      <c r="H15" s="91"/>
      <c r="I15" s="91"/>
    </row>
    <row r="16" spans="1:10" x14ac:dyDescent="0.45">
      <c r="A16" s="89"/>
      <c r="B16" s="89"/>
      <c r="C16" s="89"/>
      <c r="D16" s="89"/>
      <c r="E16" s="89"/>
      <c r="F16" s="91"/>
      <c r="G16" s="91"/>
      <c r="H16" s="91"/>
      <c r="I16" s="91"/>
    </row>
    <row r="17" spans="1:9" x14ac:dyDescent="0.45">
      <c r="A17" s="89"/>
      <c r="B17" s="89"/>
      <c r="C17" s="89"/>
      <c r="D17" s="89"/>
      <c r="E17" s="89"/>
      <c r="F17" s="91"/>
      <c r="G17" s="91"/>
      <c r="H17" s="91"/>
      <c r="I17" s="91"/>
    </row>
    <row r="18" spans="1:9" x14ac:dyDescent="0.45">
      <c r="A18" s="89"/>
      <c r="B18" s="96" t="s">
        <v>21</v>
      </c>
      <c r="C18" s="97" t="s">
        <v>22</v>
      </c>
      <c r="D18" s="98" t="s">
        <v>23</v>
      </c>
      <c r="E18" s="98" t="s">
        <v>24</v>
      </c>
      <c r="F18" s="98" t="s">
        <v>25</v>
      </c>
      <c r="G18" s="98" t="s">
        <v>55</v>
      </c>
      <c r="H18" s="98" t="s">
        <v>53</v>
      </c>
      <c r="I18" s="98" t="s">
        <v>54</v>
      </c>
    </row>
    <row r="19" spans="1:9" x14ac:dyDescent="0.45">
      <c r="A19" s="19"/>
      <c r="B19" s="20"/>
      <c r="C19" s="20"/>
      <c r="D19" s="99" t="e">
        <f>B72</f>
        <v>#DIV/0!</v>
      </c>
      <c r="E19" s="100" t="e">
        <f>C72</f>
        <v>#DIV/0!</v>
      </c>
      <c r="F19" s="101" t="e">
        <f>IF(AND(B19&lt;D19,C19&lt;E19),"Blue",(IF(AND(B19&lt;D19,C19&gt;E19),"Red",(IF(AND(B19&gt;D19,C19&gt;E19),"Green",(IF(AND(B19&gt;D19,C19&lt;E19),"Yellow")))))))</f>
        <v>#DIV/0!</v>
      </c>
      <c r="G19" s="108"/>
      <c r="H19" s="108"/>
      <c r="I19" s="108"/>
    </row>
    <row r="20" spans="1:9" x14ac:dyDescent="0.45">
      <c r="A20" s="19"/>
      <c r="B20" s="20"/>
      <c r="C20" s="20"/>
      <c r="D20" s="99" t="e">
        <f>B72</f>
        <v>#DIV/0!</v>
      </c>
      <c r="E20" s="100" t="e">
        <f>C72</f>
        <v>#DIV/0!</v>
      </c>
      <c r="F20" s="101" t="e">
        <f t="shared" ref="F20:F68" si="0">IF(AND(B20&lt;D20,C20&lt;E20),"Blue",(IF(AND(B20&lt;D20,C20&gt;E20),"Red",(IF(AND(B20&gt;D20,C20&gt;E20),"Green",(IF(AND(B20&gt;D20,C20&lt;E20),"Yellow")))))))</f>
        <v>#DIV/0!</v>
      </c>
      <c r="G20" s="108"/>
      <c r="H20" s="108"/>
      <c r="I20" s="108"/>
    </row>
    <row r="21" spans="1:9" x14ac:dyDescent="0.45">
      <c r="A21" s="19"/>
      <c r="B21" s="20"/>
      <c r="C21" s="20"/>
      <c r="D21" s="99" t="e">
        <f>B72</f>
        <v>#DIV/0!</v>
      </c>
      <c r="E21" s="100" t="e">
        <f>C72</f>
        <v>#DIV/0!</v>
      </c>
      <c r="F21" s="101" t="e">
        <f t="shared" si="0"/>
        <v>#DIV/0!</v>
      </c>
      <c r="G21" s="108"/>
      <c r="H21" s="108"/>
      <c r="I21" s="108"/>
    </row>
    <row r="22" spans="1:9" x14ac:dyDescent="0.45">
      <c r="A22" s="19"/>
      <c r="B22" s="20"/>
      <c r="C22" s="20"/>
      <c r="D22" s="99" t="e">
        <f>B72</f>
        <v>#DIV/0!</v>
      </c>
      <c r="E22" s="100" t="e">
        <f>C72</f>
        <v>#DIV/0!</v>
      </c>
      <c r="F22" s="101" t="e">
        <f t="shared" si="0"/>
        <v>#DIV/0!</v>
      </c>
      <c r="G22" s="108"/>
      <c r="H22" s="108"/>
      <c r="I22" s="108"/>
    </row>
    <row r="23" spans="1:9" x14ac:dyDescent="0.45">
      <c r="A23" s="19"/>
      <c r="B23" s="20"/>
      <c r="C23" s="20"/>
      <c r="D23" s="99" t="e">
        <f>B72</f>
        <v>#DIV/0!</v>
      </c>
      <c r="E23" s="100" t="e">
        <f>C72</f>
        <v>#DIV/0!</v>
      </c>
      <c r="F23" s="101" t="e">
        <f>IF(AND(B23&lt;D23,C23&lt;E23),"Blue",(IF(AND(B23&lt;D23,C23&gt;E23),"Red",(IF(AND(B23&gt;D23,C23&gt;E23),"Green",(IF(AND(B23&gt;D23,C23&lt;E23),"Yellow")))))))</f>
        <v>#DIV/0!</v>
      </c>
      <c r="G23" s="108"/>
      <c r="H23" s="108"/>
      <c r="I23" s="108"/>
    </row>
    <row r="24" spans="1:9" x14ac:dyDescent="0.45">
      <c r="A24" s="19"/>
      <c r="B24" s="20"/>
      <c r="C24" s="20"/>
      <c r="D24" s="99" t="e">
        <f>B72</f>
        <v>#DIV/0!</v>
      </c>
      <c r="E24" s="100" t="e">
        <f>C72</f>
        <v>#DIV/0!</v>
      </c>
      <c r="F24" s="101" t="e">
        <f t="shared" si="0"/>
        <v>#DIV/0!</v>
      </c>
      <c r="G24" s="108"/>
      <c r="H24" s="108"/>
      <c r="I24" s="108"/>
    </row>
    <row r="25" spans="1:9" x14ac:dyDescent="0.45">
      <c r="A25" s="19"/>
      <c r="B25" s="20"/>
      <c r="C25" s="20"/>
      <c r="D25" s="99" t="e">
        <f>B72</f>
        <v>#DIV/0!</v>
      </c>
      <c r="E25" s="100" t="e">
        <f>C72</f>
        <v>#DIV/0!</v>
      </c>
      <c r="F25" s="101" t="e">
        <f t="shared" si="0"/>
        <v>#DIV/0!</v>
      </c>
      <c r="G25" s="108"/>
      <c r="H25" s="108"/>
      <c r="I25" s="108"/>
    </row>
    <row r="26" spans="1:9" x14ac:dyDescent="0.45">
      <c r="A26" s="19"/>
      <c r="B26" s="20"/>
      <c r="C26" s="20"/>
      <c r="D26" s="99" t="e">
        <f>B72</f>
        <v>#DIV/0!</v>
      </c>
      <c r="E26" s="100" t="e">
        <f>C72</f>
        <v>#DIV/0!</v>
      </c>
      <c r="F26" s="101" t="e">
        <f t="shared" si="0"/>
        <v>#DIV/0!</v>
      </c>
      <c r="G26" s="108"/>
      <c r="H26" s="108"/>
      <c r="I26" s="108"/>
    </row>
    <row r="27" spans="1:9" x14ac:dyDescent="0.45">
      <c r="A27" s="19"/>
      <c r="B27" s="20"/>
      <c r="C27" s="20"/>
      <c r="D27" s="99" t="e">
        <f>B72</f>
        <v>#DIV/0!</v>
      </c>
      <c r="E27" s="100" t="e">
        <f>C72</f>
        <v>#DIV/0!</v>
      </c>
      <c r="F27" s="101" t="e">
        <f t="shared" si="0"/>
        <v>#DIV/0!</v>
      </c>
      <c r="G27" s="108"/>
      <c r="H27" s="108"/>
      <c r="I27" s="108"/>
    </row>
    <row r="28" spans="1:9" x14ac:dyDescent="0.45">
      <c r="A28" s="19"/>
      <c r="B28" s="20"/>
      <c r="C28" s="20"/>
      <c r="D28" s="99" t="e">
        <f>B72</f>
        <v>#DIV/0!</v>
      </c>
      <c r="E28" s="100" t="e">
        <f>C72</f>
        <v>#DIV/0!</v>
      </c>
      <c r="F28" s="101" t="e">
        <f t="shared" si="0"/>
        <v>#DIV/0!</v>
      </c>
      <c r="G28" s="108"/>
      <c r="H28" s="108"/>
      <c r="I28" s="108"/>
    </row>
    <row r="29" spans="1:9" x14ac:dyDescent="0.45">
      <c r="A29" s="19"/>
      <c r="B29" s="20"/>
      <c r="C29" s="20"/>
      <c r="D29" s="99" t="e">
        <f>B72</f>
        <v>#DIV/0!</v>
      </c>
      <c r="E29" s="100" t="e">
        <f>C72</f>
        <v>#DIV/0!</v>
      </c>
      <c r="F29" s="101" t="e">
        <f t="shared" si="0"/>
        <v>#DIV/0!</v>
      </c>
      <c r="G29" s="108"/>
      <c r="H29" s="108"/>
      <c r="I29" s="108"/>
    </row>
    <row r="30" spans="1:9" x14ac:dyDescent="0.45">
      <c r="A30" s="19"/>
      <c r="B30" s="20"/>
      <c r="C30" s="20"/>
      <c r="D30" s="99" t="e">
        <f>B72</f>
        <v>#DIV/0!</v>
      </c>
      <c r="E30" s="100" t="e">
        <f>C72</f>
        <v>#DIV/0!</v>
      </c>
      <c r="F30" s="101" t="e">
        <f t="shared" si="0"/>
        <v>#DIV/0!</v>
      </c>
      <c r="G30" s="108"/>
      <c r="H30" s="108"/>
      <c r="I30" s="108"/>
    </row>
    <row r="31" spans="1:9" x14ac:dyDescent="0.45">
      <c r="A31" s="19"/>
      <c r="B31" s="20"/>
      <c r="C31" s="20"/>
      <c r="D31" s="99" t="e">
        <f>B72</f>
        <v>#DIV/0!</v>
      </c>
      <c r="E31" s="100" t="e">
        <f>C72</f>
        <v>#DIV/0!</v>
      </c>
      <c r="F31" s="101" t="e">
        <f t="shared" si="0"/>
        <v>#DIV/0!</v>
      </c>
      <c r="G31" s="108"/>
      <c r="H31" s="108"/>
      <c r="I31" s="108"/>
    </row>
    <row r="32" spans="1:9" x14ac:dyDescent="0.45">
      <c r="A32" s="19"/>
      <c r="B32" s="20"/>
      <c r="C32" s="20"/>
      <c r="D32" s="99" t="e">
        <f>B72</f>
        <v>#DIV/0!</v>
      </c>
      <c r="E32" s="100" t="e">
        <f>C72</f>
        <v>#DIV/0!</v>
      </c>
      <c r="F32" s="101" t="e">
        <f t="shared" si="0"/>
        <v>#DIV/0!</v>
      </c>
      <c r="G32" s="108"/>
      <c r="H32" s="108"/>
      <c r="I32" s="108"/>
    </row>
    <row r="33" spans="1:9" x14ac:dyDescent="0.45">
      <c r="A33" s="19"/>
      <c r="B33" s="20"/>
      <c r="C33" s="20"/>
      <c r="D33" s="99" t="e">
        <f>B72</f>
        <v>#DIV/0!</v>
      </c>
      <c r="E33" s="100" t="e">
        <f>C72</f>
        <v>#DIV/0!</v>
      </c>
      <c r="F33" s="101" t="e">
        <f t="shared" si="0"/>
        <v>#DIV/0!</v>
      </c>
      <c r="G33" s="108"/>
      <c r="H33" s="108"/>
      <c r="I33" s="108"/>
    </row>
    <row r="34" spans="1:9" x14ac:dyDescent="0.45">
      <c r="A34" s="19"/>
      <c r="B34" s="20"/>
      <c r="C34" s="20"/>
      <c r="D34" s="99" t="e">
        <f>B72</f>
        <v>#DIV/0!</v>
      </c>
      <c r="E34" s="100" t="e">
        <f>C72</f>
        <v>#DIV/0!</v>
      </c>
      <c r="F34" s="101" t="e">
        <f t="shared" si="0"/>
        <v>#DIV/0!</v>
      </c>
      <c r="G34" s="108"/>
      <c r="H34" s="108"/>
      <c r="I34" s="108"/>
    </row>
    <row r="35" spans="1:9" x14ac:dyDescent="0.45">
      <c r="A35" s="19"/>
      <c r="B35" s="20"/>
      <c r="C35" s="20"/>
      <c r="D35" s="99" t="e">
        <f>B72</f>
        <v>#DIV/0!</v>
      </c>
      <c r="E35" s="100" t="e">
        <f>C72</f>
        <v>#DIV/0!</v>
      </c>
      <c r="F35" s="101" t="e">
        <f t="shared" si="0"/>
        <v>#DIV/0!</v>
      </c>
      <c r="G35" s="108"/>
      <c r="H35" s="108"/>
      <c r="I35" s="108"/>
    </row>
    <row r="36" spans="1:9" x14ac:dyDescent="0.45">
      <c r="A36" s="19"/>
      <c r="B36" s="20"/>
      <c r="C36" s="20"/>
      <c r="D36" s="99" t="e">
        <f>B72</f>
        <v>#DIV/0!</v>
      </c>
      <c r="E36" s="100" t="e">
        <f>C72</f>
        <v>#DIV/0!</v>
      </c>
      <c r="F36" s="101" t="e">
        <f t="shared" si="0"/>
        <v>#DIV/0!</v>
      </c>
      <c r="G36" s="108"/>
      <c r="H36" s="108"/>
      <c r="I36" s="108"/>
    </row>
    <row r="37" spans="1:9" x14ac:dyDescent="0.45">
      <c r="A37" s="19"/>
      <c r="B37" s="20"/>
      <c r="C37" s="20"/>
      <c r="D37" s="99" t="e">
        <f>B72</f>
        <v>#DIV/0!</v>
      </c>
      <c r="E37" s="100" t="e">
        <f>C72</f>
        <v>#DIV/0!</v>
      </c>
      <c r="F37" s="101" t="e">
        <f t="shared" si="0"/>
        <v>#DIV/0!</v>
      </c>
      <c r="G37" s="108"/>
      <c r="H37" s="108"/>
      <c r="I37" s="108"/>
    </row>
    <row r="38" spans="1:9" x14ac:dyDescent="0.45">
      <c r="A38" s="19"/>
      <c r="B38" s="20"/>
      <c r="C38" s="20"/>
      <c r="D38" s="99" t="e">
        <f>B72</f>
        <v>#DIV/0!</v>
      </c>
      <c r="E38" s="100" t="e">
        <f>C72</f>
        <v>#DIV/0!</v>
      </c>
      <c r="F38" s="101" t="e">
        <f t="shared" si="0"/>
        <v>#DIV/0!</v>
      </c>
      <c r="G38" s="108"/>
      <c r="H38" s="108"/>
      <c r="I38" s="108"/>
    </row>
    <row r="39" spans="1:9" x14ac:dyDescent="0.45">
      <c r="A39" s="19"/>
      <c r="B39" s="20"/>
      <c r="C39" s="20"/>
      <c r="D39" s="99" t="e">
        <f>B72</f>
        <v>#DIV/0!</v>
      </c>
      <c r="E39" s="100" t="e">
        <f>C72</f>
        <v>#DIV/0!</v>
      </c>
      <c r="F39" s="101" t="e">
        <f t="shared" si="0"/>
        <v>#DIV/0!</v>
      </c>
      <c r="G39" s="108"/>
      <c r="H39" s="108"/>
      <c r="I39" s="108"/>
    </row>
    <row r="40" spans="1:9" x14ac:dyDescent="0.45">
      <c r="A40" s="19"/>
      <c r="B40" s="20"/>
      <c r="C40" s="20"/>
      <c r="D40" s="99" t="e">
        <f>B72</f>
        <v>#DIV/0!</v>
      </c>
      <c r="E40" s="100" t="e">
        <f>C72</f>
        <v>#DIV/0!</v>
      </c>
      <c r="F40" s="101" t="e">
        <f t="shared" si="0"/>
        <v>#DIV/0!</v>
      </c>
      <c r="G40" s="108"/>
      <c r="H40" s="108"/>
      <c r="I40" s="108"/>
    </row>
    <row r="41" spans="1:9" x14ac:dyDescent="0.45">
      <c r="A41" s="19"/>
      <c r="B41" s="20"/>
      <c r="C41" s="20"/>
      <c r="D41" s="99" t="e">
        <f>B72</f>
        <v>#DIV/0!</v>
      </c>
      <c r="E41" s="100" t="e">
        <f>C72</f>
        <v>#DIV/0!</v>
      </c>
      <c r="F41" s="101" t="e">
        <f t="shared" si="0"/>
        <v>#DIV/0!</v>
      </c>
      <c r="G41" s="108"/>
      <c r="H41" s="108"/>
      <c r="I41" s="108"/>
    </row>
    <row r="42" spans="1:9" x14ac:dyDescent="0.45">
      <c r="A42" s="19"/>
      <c r="B42" s="20"/>
      <c r="C42" s="20"/>
      <c r="D42" s="99" t="e">
        <f>B72</f>
        <v>#DIV/0!</v>
      </c>
      <c r="E42" s="100" t="e">
        <f>C72</f>
        <v>#DIV/0!</v>
      </c>
      <c r="F42" s="101" t="e">
        <f t="shared" si="0"/>
        <v>#DIV/0!</v>
      </c>
      <c r="G42" s="108"/>
      <c r="H42" s="108"/>
      <c r="I42" s="108"/>
    </row>
    <row r="43" spans="1:9" x14ac:dyDescent="0.45">
      <c r="A43" s="19"/>
      <c r="B43" s="20"/>
      <c r="C43" s="20"/>
      <c r="D43" s="99" t="e">
        <f>B72</f>
        <v>#DIV/0!</v>
      </c>
      <c r="E43" s="100" t="e">
        <f>C72</f>
        <v>#DIV/0!</v>
      </c>
      <c r="F43" s="101" t="e">
        <f t="shared" si="0"/>
        <v>#DIV/0!</v>
      </c>
      <c r="G43" s="108"/>
      <c r="H43" s="108"/>
      <c r="I43" s="108"/>
    </row>
    <row r="44" spans="1:9" x14ac:dyDescent="0.45">
      <c r="A44" s="19"/>
      <c r="B44" s="20"/>
      <c r="C44" s="20"/>
      <c r="D44" s="99" t="e">
        <f>B72</f>
        <v>#DIV/0!</v>
      </c>
      <c r="E44" s="100" t="e">
        <f>C72</f>
        <v>#DIV/0!</v>
      </c>
      <c r="F44" s="101" t="e">
        <f t="shared" si="0"/>
        <v>#DIV/0!</v>
      </c>
      <c r="G44" s="108"/>
      <c r="H44" s="108"/>
      <c r="I44" s="108"/>
    </row>
    <row r="45" spans="1:9" x14ac:dyDescent="0.45">
      <c r="A45" s="19"/>
      <c r="B45" s="20"/>
      <c r="C45" s="20"/>
      <c r="D45" s="99" t="e">
        <f>B72</f>
        <v>#DIV/0!</v>
      </c>
      <c r="E45" s="100" t="e">
        <f>C72</f>
        <v>#DIV/0!</v>
      </c>
      <c r="F45" s="101" t="e">
        <f t="shared" si="0"/>
        <v>#DIV/0!</v>
      </c>
      <c r="G45" s="108"/>
      <c r="H45" s="108"/>
      <c r="I45" s="108"/>
    </row>
    <row r="46" spans="1:9" x14ac:dyDescent="0.45">
      <c r="A46" s="19"/>
      <c r="B46" s="20"/>
      <c r="C46" s="20"/>
      <c r="D46" s="99" t="e">
        <f>B72</f>
        <v>#DIV/0!</v>
      </c>
      <c r="E46" s="100" t="e">
        <f>C72</f>
        <v>#DIV/0!</v>
      </c>
      <c r="F46" s="101" t="e">
        <f t="shared" si="0"/>
        <v>#DIV/0!</v>
      </c>
      <c r="G46" s="108"/>
      <c r="H46" s="108"/>
      <c r="I46" s="108"/>
    </row>
    <row r="47" spans="1:9" x14ac:dyDescent="0.45">
      <c r="A47" s="19"/>
      <c r="B47" s="20"/>
      <c r="C47" s="20"/>
      <c r="D47" s="99" t="e">
        <f>B72</f>
        <v>#DIV/0!</v>
      </c>
      <c r="E47" s="100" t="e">
        <f>C72</f>
        <v>#DIV/0!</v>
      </c>
      <c r="F47" s="101" t="e">
        <f t="shared" si="0"/>
        <v>#DIV/0!</v>
      </c>
      <c r="G47" s="108"/>
      <c r="H47" s="108"/>
      <c r="I47" s="108"/>
    </row>
    <row r="48" spans="1:9" x14ac:dyDescent="0.45">
      <c r="A48" s="19"/>
      <c r="B48" s="20"/>
      <c r="C48" s="20"/>
      <c r="D48" s="99" t="e">
        <f>B72</f>
        <v>#DIV/0!</v>
      </c>
      <c r="E48" s="100" t="e">
        <f>C72</f>
        <v>#DIV/0!</v>
      </c>
      <c r="F48" s="101" t="e">
        <f t="shared" si="0"/>
        <v>#DIV/0!</v>
      </c>
      <c r="G48" s="108"/>
      <c r="H48" s="108"/>
      <c r="I48" s="108"/>
    </row>
    <row r="49" spans="1:9" x14ac:dyDescent="0.45">
      <c r="A49" s="19"/>
      <c r="B49" s="20"/>
      <c r="C49" s="20"/>
      <c r="D49" s="99" t="e">
        <f>B72</f>
        <v>#DIV/0!</v>
      </c>
      <c r="E49" s="100" t="e">
        <f>C72</f>
        <v>#DIV/0!</v>
      </c>
      <c r="F49" s="101" t="e">
        <f t="shared" si="0"/>
        <v>#DIV/0!</v>
      </c>
      <c r="G49" s="108"/>
      <c r="H49" s="108"/>
      <c r="I49" s="108"/>
    </row>
    <row r="50" spans="1:9" x14ac:dyDescent="0.45">
      <c r="A50" s="19"/>
      <c r="B50" s="20"/>
      <c r="C50" s="20"/>
      <c r="D50" s="99" t="e">
        <f>B72</f>
        <v>#DIV/0!</v>
      </c>
      <c r="E50" s="100" t="e">
        <f>C72</f>
        <v>#DIV/0!</v>
      </c>
      <c r="F50" s="101" t="e">
        <f t="shared" si="0"/>
        <v>#DIV/0!</v>
      </c>
      <c r="G50" s="108"/>
      <c r="H50" s="108"/>
      <c r="I50" s="108"/>
    </row>
    <row r="51" spans="1:9" x14ac:dyDescent="0.45">
      <c r="A51" s="19"/>
      <c r="B51" s="20"/>
      <c r="C51" s="20"/>
      <c r="D51" s="99" t="e">
        <f>B72</f>
        <v>#DIV/0!</v>
      </c>
      <c r="E51" s="100" t="e">
        <f>C72</f>
        <v>#DIV/0!</v>
      </c>
      <c r="F51" s="101" t="e">
        <f t="shared" si="0"/>
        <v>#DIV/0!</v>
      </c>
      <c r="G51" s="108"/>
      <c r="H51" s="108"/>
      <c r="I51" s="108"/>
    </row>
    <row r="52" spans="1:9" x14ac:dyDescent="0.45">
      <c r="A52" s="19"/>
      <c r="B52" s="20"/>
      <c r="C52" s="20"/>
      <c r="D52" s="99" t="e">
        <f>B72</f>
        <v>#DIV/0!</v>
      </c>
      <c r="E52" s="100" t="e">
        <f>C72</f>
        <v>#DIV/0!</v>
      </c>
      <c r="F52" s="101" t="e">
        <f t="shared" si="0"/>
        <v>#DIV/0!</v>
      </c>
      <c r="G52" s="108"/>
      <c r="H52" s="108"/>
      <c r="I52" s="108"/>
    </row>
    <row r="53" spans="1:9" x14ac:dyDescent="0.45">
      <c r="A53" s="19"/>
      <c r="B53" s="20"/>
      <c r="C53" s="20"/>
      <c r="D53" s="99" t="e">
        <f>B72</f>
        <v>#DIV/0!</v>
      </c>
      <c r="E53" s="100" t="e">
        <f>C72</f>
        <v>#DIV/0!</v>
      </c>
      <c r="F53" s="101" t="e">
        <f t="shared" si="0"/>
        <v>#DIV/0!</v>
      </c>
      <c r="G53" s="108"/>
      <c r="H53" s="108"/>
      <c r="I53" s="108"/>
    </row>
    <row r="54" spans="1:9" x14ac:dyDescent="0.45">
      <c r="A54" s="102"/>
      <c r="B54" s="103"/>
      <c r="C54" s="104"/>
      <c r="D54" s="99" t="e">
        <f>B72</f>
        <v>#DIV/0!</v>
      </c>
      <c r="E54" s="100" t="e">
        <f>C72</f>
        <v>#DIV/0!</v>
      </c>
      <c r="F54" s="101" t="e">
        <f t="shared" si="0"/>
        <v>#DIV/0!</v>
      </c>
      <c r="G54" s="108"/>
      <c r="H54" s="108"/>
      <c r="I54" s="108"/>
    </row>
    <row r="55" spans="1:9" x14ac:dyDescent="0.45">
      <c r="A55" s="102"/>
      <c r="B55" s="103"/>
      <c r="C55" s="104"/>
      <c r="D55" s="99" t="e">
        <f>B72</f>
        <v>#DIV/0!</v>
      </c>
      <c r="E55" s="100" t="e">
        <f>C72</f>
        <v>#DIV/0!</v>
      </c>
      <c r="F55" s="101" t="e">
        <f t="shared" si="0"/>
        <v>#DIV/0!</v>
      </c>
      <c r="G55" s="108"/>
      <c r="H55" s="108"/>
      <c r="I55" s="108"/>
    </row>
    <row r="56" spans="1:9" x14ac:dyDescent="0.45">
      <c r="A56" s="102"/>
      <c r="B56" s="103"/>
      <c r="C56" s="104"/>
      <c r="D56" s="99" t="e">
        <f>B72</f>
        <v>#DIV/0!</v>
      </c>
      <c r="E56" s="100" t="e">
        <f>C72</f>
        <v>#DIV/0!</v>
      </c>
      <c r="F56" s="101" t="e">
        <f t="shared" si="0"/>
        <v>#DIV/0!</v>
      </c>
      <c r="G56" s="108"/>
      <c r="H56" s="108"/>
      <c r="I56" s="108"/>
    </row>
    <row r="57" spans="1:9" x14ac:dyDescent="0.45">
      <c r="A57" s="102"/>
      <c r="B57" s="103"/>
      <c r="C57" s="104"/>
      <c r="D57" s="99" t="e">
        <f>B72</f>
        <v>#DIV/0!</v>
      </c>
      <c r="E57" s="100" t="e">
        <f>C72</f>
        <v>#DIV/0!</v>
      </c>
      <c r="F57" s="101" t="e">
        <f t="shared" si="0"/>
        <v>#DIV/0!</v>
      </c>
      <c r="G57" s="108"/>
      <c r="H57" s="108"/>
      <c r="I57" s="108"/>
    </row>
    <row r="58" spans="1:9" x14ac:dyDescent="0.45">
      <c r="A58" s="102"/>
      <c r="B58" s="103"/>
      <c r="C58" s="104"/>
      <c r="D58" s="99" t="e">
        <f>B72</f>
        <v>#DIV/0!</v>
      </c>
      <c r="E58" s="100" t="e">
        <f>C72</f>
        <v>#DIV/0!</v>
      </c>
      <c r="F58" s="101" t="e">
        <f t="shared" si="0"/>
        <v>#DIV/0!</v>
      </c>
      <c r="G58" s="108"/>
      <c r="H58" s="108"/>
      <c r="I58" s="108"/>
    </row>
    <row r="59" spans="1:9" x14ac:dyDescent="0.45">
      <c r="A59" s="102"/>
      <c r="B59" s="103"/>
      <c r="C59" s="104"/>
      <c r="D59" s="99" t="e">
        <f>B72</f>
        <v>#DIV/0!</v>
      </c>
      <c r="E59" s="100" t="e">
        <f>C72</f>
        <v>#DIV/0!</v>
      </c>
      <c r="F59" s="101" t="e">
        <f t="shared" si="0"/>
        <v>#DIV/0!</v>
      </c>
      <c r="G59" s="108"/>
      <c r="H59" s="108"/>
      <c r="I59" s="108"/>
    </row>
    <row r="60" spans="1:9" x14ac:dyDescent="0.45">
      <c r="A60" s="102"/>
      <c r="B60" s="103"/>
      <c r="C60" s="104"/>
      <c r="D60" s="99" t="e">
        <f>B72</f>
        <v>#DIV/0!</v>
      </c>
      <c r="E60" s="100" t="e">
        <f>C72</f>
        <v>#DIV/0!</v>
      </c>
      <c r="F60" s="101" t="e">
        <f t="shared" si="0"/>
        <v>#DIV/0!</v>
      </c>
      <c r="G60" s="108"/>
      <c r="H60" s="108"/>
      <c r="I60" s="108"/>
    </row>
    <row r="61" spans="1:9" x14ac:dyDescent="0.45">
      <c r="A61" s="102"/>
      <c r="B61" s="103"/>
      <c r="C61" s="104"/>
      <c r="D61" s="99" t="e">
        <f>B72</f>
        <v>#DIV/0!</v>
      </c>
      <c r="E61" s="100" t="e">
        <f>C72</f>
        <v>#DIV/0!</v>
      </c>
      <c r="F61" s="101" t="e">
        <f t="shared" si="0"/>
        <v>#DIV/0!</v>
      </c>
      <c r="G61" s="108"/>
      <c r="H61" s="108"/>
      <c r="I61" s="108"/>
    </row>
    <row r="62" spans="1:9" x14ac:dyDescent="0.45">
      <c r="A62" s="102"/>
      <c r="B62" s="103"/>
      <c r="C62" s="104"/>
      <c r="D62" s="99" t="e">
        <f>B72</f>
        <v>#DIV/0!</v>
      </c>
      <c r="E62" s="100" t="e">
        <f>C72</f>
        <v>#DIV/0!</v>
      </c>
      <c r="F62" s="101" t="e">
        <f t="shared" si="0"/>
        <v>#DIV/0!</v>
      </c>
      <c r="G62" s="108"/>
      <c r="H62" s="108"/>
      <c r="I62" s="108"/>
    </row>
    <row r="63" spans="1:9" x14ac:dyDescent="0.45">
      <c r="A63" s="102"/>
      <c r="B63" s="103"/>
      <c r="C63" s="104"/>
      <c r="D63" s="99" t="e">
        <f>B72</f>
        <v>#DIV/0!</v>
      </c>
      <c r="E63" s="100" t="e">
        <f>C72</f>
        <v>#DIV/0!</v>
      </c>
      <c r="F63" s="101" t="e">
        <f t="shared" si="0"/>
        <v>#DIV/0!</v>
      </c>
      <c r="G63" s="108"/>
      <c r="H63" s="108"/>
      <c r="I63" s="108"/>
    </row>
    <row r="64" spans="1:9" x14ac:dyDescent="0.45">
      <c r="A64" s="102"/>
      <c r="B64" s="103"/>
      <c r="C64" s="104"/>
      <c r="D64" s="99" t="e">
        <f>B72</f>
        <v>#DIV/0!</v>
      </c>
      <c r="E64" s="100" t="e">
        <f>C72</f>
        <v>#DIV/0!</v>
      </c>
      <c r="F64" s="101" t="e">
        <f t="shared" si="0"/>
        <v>#DIV/0!</v>
      </c>
      <c r="G64" s="108"/>
      <c r="H64" s="108"/>
      <c r="I64" s="108"/>
    </row>
    <row r="65" spans="1:9" x14ac:dyDescent="0.45">
      <c r="A65" s="102"/>
      <c r="B65" s="103"/>
      <c r="C65" s="104"/>
      <c r="D65" s="99" t="e">
        <f>B72</f>
        <v>#DIV/0!</v>
      </c>
      <c r="E65" s="100" t="e">
        <f>C72</f>
        <v>#DIV/0!</v>
      </c>
      <c r="F65" s="101" t="e">
        <f t="shared" si="0"/>
        <v>#DIV/0!</v>
      </c>
      <c r="G65" s="108"/>
      <c r="H65" s="108"/>
      <c r="I65" s="108"/>
    </row>
    <row r="66" spans="1:9" x14ac:dyDescent="0.45">
      <c r="A66" s="102"/>
      <c r="B66" s="103"/>
      <c r="C66" s="104"/>
      <c r="D66" s="99" t="e">
        <f>B72</f>
        <v>#DIV/0!</v>
      </c>
      <c r="E66" s="100" t="e">
        <f>C72</f>
        <v>#DIV/0!</v>
      </c>
      <c r="F66" s="101" t="e">
        <f t="shared" si="0"/>
        <v>#DIV/0!</v>
      </c>
      <c r="G66" s="108"/>
      <c r="H66" s="108"/>
      <c r="I66" s="108"/>
    </row>
    <row r="67" spans="1:9" x14ac:dyDescent="0.45">
      <c r="A67" s="102"/>
      <c r="B67" s="103"/>
      <c r="C67" s="104"/>
      <c r="D67" s="99" t="e">
        <f>B72</f>
        <v>#DIV/0!</v>
      </c>
      <c r="E67" s="100" t="e">
        <f>C72</f>
        <v>#DIV/0!</v>
      </c>
      <c r="F67" s="101" t="e">
        <f t="shared" si="0"/>
        <v>#DIV/0!</v>
      </c>
      <c r="G67" s="108"/>
      <c r="H67" s="108"/>
      <c r="I67" s="108"/>
    </row>
    <row r="68" spans="1:9" x14ac:dyDescent="0.45">
      <c r="A68" s="102"/>
      <c r="B68" s="103"/>
      <c r="C68" s="104"/>
      <c r="D68" s="99" t="e">
        <f>B72</f>
        <v>#DIV/0!</v>
      </c>
      <c r="E68" s="100" t="e">
        <f>C72</f>
        <v>#DIV/0!</v>
      </c>
      <c r="F68" s="101" t="e">
        <f t="shared" si="0"/>
        <v>#DIV/0!</v>
      </c>
      <c r="G68" s="108"/>
      <c r="H68" s="108"/>
      <c r="I68" s="108"/>
    </row>
    <row r="69" spans="1:9" x14ac:dyDescent="0.45">
      <c r="A69" s="105"/>
      <c r="B69" s="106"/>
      <c r="C69" s="107"/>
      <c r="D69" s="99"/>
      <c r="E69" s="100"/>
      <c r="F69" s="108"/>
      <c r="G69" s="108"/>
      <c r="H69" s="108"/>
      <c r="I69" s="108"/>
    </row>
    <row r="70" spans="1:9" x14ac:dyDescent="0.45">
      <c r="A70" s="105"/>
      <c r="B70" s="106"/>
      <c r="C70" s="107"/>
      <c r="D70" s="99"/>
      <c r="E70" s="100"/>
      <c r="F70" s="108"/>
      <c r="G70" s="108"/>
      <c r="H70" s="108"/>
      <c r="I70" s="108"/>
    </row>
    <row r="71" spans="1:9" x14ac:dyDescent="0.45">
      <c r="A71" s="105"/>
      <c r="B71" s="106"/>
      <c r="C71" s="107"/>
      <c r="D71" s="99"/>
      <c r="E71" s="100"/>
      <c r="F71" s="108"/>
      <c r="G71" s="108"/>
      <c r="H71" s="108"/>
      <c r="I71" s="108"/>
    </row>
    <row r="72" spans="1:9" x14ac:dyDescent="0.45">
      <c r="A72" s="109" t="s">
        <v>26</v>
      </c>
      <c r="B72" s="110" t="e">
        <f>AVERAGE(B19:B68)</f>
        <v>#DIV/0!</v>
      </c>
      <c r="C72" s="110" t="e">
        <f>AVERAGE(C19:C68)</f>
        <v>#DIV/0!</v>
      </c>
      <c r="D72" s="99"/>
      <c r="E72" s="100"/>
    </row>
    <row r="73" spans="1:9" x14ac:dyDescent="0.45">
      <c r="A73" s="109" t="s">
        <v>27</v>
      </c>
      <c r="B73" s="110" t="e">
        <f>B72-1.1*(MAX(MAX(B19:B68)-B72,B72-MIN(B19:B68)))</f>
        <v>#DIV/0!</v>
      </c>
      <c r="C73" s="110" t="e">
        <f>C72-1.18*(MAX(MAX(C19:C68)-C72,C72-MIN(C19:C68)))</f>
        <v>#DIV/0!</v>
      </c>
      <c r="D73" s="99"/>
    </row>
    <row r="74" spans="1:9" x14ac:dyDescent="0.45">
      <c r="A74" s="109" t="s">
        <v>28</v>
      </c>
      <c r="B74" s="110" t="e">
        <f>B72+1.1*(MAX(MAX(B19:B68)-B72,B72-MIN(B19:B68)))</f>
        <v>#DIV/0!</v>
      </c>
      <c r="C74" s="110" t="e">
        <f>C72+1.18*(MAX(MAX(C19:C68)-C72,C72-MIN(C19:C68)))</f>
        <v>#DIV/0!</v>
      </c>
      <c r="D74" s="99"/>
    </row>
    <row r="75" spans="1:9" x14ac:dyDescent="0.45">
      <c r="D75" s="99"/>
    </row>
    <row r="76" spans="1:9" x14ac:dyDescent="0.45">
      <c r="B76" s="89"/>
      <c r="C76" s="89"/>
      <c r="D76" s="89"/>
    </row>
    <row r="77" spans="1:9" x14ac:dyDescent="0.45">
      <c r="B77" s="89"/>
      <c r="C77" s="89"/>
      <c r="D77" s="89"/>
    </row>
    <row r="78" spans="1:9" x14ac:dyDescent="0.45">
      <c r="D78" s="99"/>
    </row>
    <row r="79" spans="1:9" x14ac:dyDescent="0.45">
      <c r="D79" s="99"/>
    </row>
    <row r="80" spans="1:9" x14ac:dyDescent="0.45">
      <c r="D80" s="99"/>
    </row>
    <row r="81" spans="4:4" x14ac:dyDescent="0.45">
      <c r="D81" s="99"/>
    </row>
    <row r="82" spans="4:4" x14ac:dyDescent="0.45">
      <c r="D82" s="99"/>
    </row>
    <row r="83" spans="4:4" x14ac:dyDescent="0.45">
      <c r="D83" s="9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9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DF2ED-986F-40A6-AD6E-D050BF8FC3B0}">
  <sheetPr codeName="Sheet7"/>
  <dimension ref="A1:J83"/>
  <sheetViews>
    <sheetView zoomScale="85" zoomScaleNormal="85" workbookViewId="0"/>
  </sheetViews>
  <sheetFormatPr defaultColWidth="8.75" defaultRowHeight="16.5" x14ac:dyDescent="0.45"/>
  <cols>
    <col min="1" max="1" width="38.25" customWidth="1"/>
    <col min="4" max="9" width="15.58203125" customWidth="1"/>
    <col min="10" max="10" width="158.33203125" customWidth="1"/>
    <col min="12" max="12" width="147.33203125" customWidth="1"/>
  </cols>
  <sheetData>
    <row r="1" spans="1:10" x14ac:dyDescent="0.45">
      <c r="A1" s="88" t="s">
        <v>0</v>
      </c>
      <c r="B1" s="89"/>
      <c r="C1" s="89"/>
      <c r="D1" s="89"/>
      <c r="E1" s="90"/>
      <c r="F1" s="91"/>
      <c r="G1" s="91"/>
      <c r="H1" s="91"/>
      <c r="I1" s="91"/>
    </row>
    <row r="2" spans="1:10" x14ac:dyDescent="0.45">
      <c r="A2" s="92"/>
      <c r="B2" s="89"/>
      <c r="C2" s="89"/>
      <c r="D2" s="89"/>
      <c r="E2" s="90"/>
      <c r="F2" s="91"/>
      <c r="G2" s="91"/>
      <c r="H2" s="91"/>
      <c r="I2" s="91"/>
    </row>
    <row r="3" spans="1:10" ht="21" x14ac:dyDescent="0.55000000000000004">
      <c r="A3" s="92" t="s">
        <v>1</v>
      </c>
      <c r="B3" s="89"/>
      <c r="C3" s="89"/>
      <c r="D3" s="89"/>
      <c r="E3" s="90"/>
      <c r="F3" s="91"/>
      <c r="G3" s="91"/>
      <c r="H3" s="91"/>
      <c r="I3" s="91"/>
      <c r="J3" s="93" t="s">
        <v>2</v>
      </c>
    </row>
    <row r="4" spans="1:10" ht="21" x14ac:dyDescent="0.55000000000000004">
      <c r="A4" s="92" t="s">
        <v>3</v>
      </c>
      <c r="B4" s="89"/>
      <c r="C4" s="89"/>
      <c r="D4" s="89"/>
      <c r="E4" s="89"/>
      <c r="F4" s="91"/>
      <c r="G4" s="91"/>
      <c r="H4" s="91"/>
      <c r="I4" s="91"/>
      <c r="J4" s="93" t="s">
        <v>4</v>
      </c>
    </row>
    <row r="5" spans="1:10" ht="21" x14ac:dyDescent="0.55000000000000004">
      <c r="A5" s="92"/>
      <c r="B5" s="89"/>
      <c r="C5" s="89"/>
      <c r="D5" s="89"/>
      <c r="E5" s="89"/>
      <c r="F5" s="91"/>
      <c r="G5" s="91"/>
      <c r="H5" s="91"/>
      <c r="I5" s="91"/>
      <c r="J5" s="93" t="s">
        <v>5</v>
      </c>
    </row>
    <row r="6" spans="1:10" ht="21" x14ac:dyDescent="0.55000000000000004">
      <c r="A6" s="92" t="s">
        <v>6</v>
      </c>
      <c r="B6" s="89"/>
      <c r="C6" s="89"/>
      <c r="D6" s="89"/>
      <c r="E6" s="89"/>
      <c r="F6" s="91"/>
      <c r="G6" s="91"/>
      <c r="H6" s="91"/>
      <c r="I6" s="91"/>
      <c r="J6" s="93" t="s">
        <v>7</v>
      </c>
    </row>
    <row r="7" spans="1:10" ht="21" x14ac:dyDescent="0.55000000000000004">
      <c r="A7" s="92"/>
      <c r="B7" s="89"/>
      <c r="C7" s="89"/>
      <c r="D7" s="89"/>
      <c r="E7" s="89"/>
      <c r="F7" s="91"/>
      <c r="G7" s="91"/>
      <c r="H7" s="91"/>
      <c r="I7" s="91"/>
      <c r="J7" s="93"/>
    </row>
    <row r="8" spans="1:10" ht="21" x14ac:dyDescent="0.55000000000000004">
      <c r="A8" s="88" t="s">
        <v>8</v>
      </c>
      <c r="B8" s="89"/>
      <c r="C8" s="89"/>
      <c r="D8" s="89"/>
      <c r="E8" s="89"/>
      <c r="F8" s="91"/>
      <c r="G8" s="91"/>
      <c r="H8" s="91"/>
      <c r="I8" s="91"/>
      <c r="J8" s="93" t="s">
        <v>9</v>
      </c>
    </row>
    <row r="9" spans="1:10" ht="21" x14ac:dyDescent="0.55000000000000004">
      <c r="A9" s="115" t="s">
        <v>10</v>
      </c>
      <c r="B9" s="116" t="s">
        <v>11</v>
      </c>
      <c r="C9" s="89"/>
      <c r="D9" s="89"/>
      <c r="E9" s="89"/>
      <c r="F9" s="91"/>
      <c r="G9" s="91"/>
      <c r="H9" s="91"/>
      <c r="I9" s="91"/>
      <c r="J9" s="94"/>
    </row>
    <row r="10" spans="1:10" ht="21" x14ac:dyDescent="0.55000000000000004">
      <c r="A10" s="115" t="s">
        <v>13</v>
      </c>
      <c r="B10" s="116" t="s">
        <v>14</v>
      </c>
      <c r="C10" s="89"/>
      <c r="D10" s="89"/>
      <c r="E10" s="89"/>
      <c r="F10" s="91"/>
      <c r="G10" s="91"/>
      <c r="H10" s="91"/>
      <c r="I10" s="91"/>
      <c r="J10" s="94"/>
    </row>
    <row r="11" spans="1:10" x14ac:dyDescent="0.45">
      <c r="A11" s="89"/>
      <c r="B11" s="89"/>
      <c r="C11" s="89"/>
      <c r="D11" s="89"/>
      <c r="E11" s="89"/>
      <c r="F11" s="91"/>
      <c r="G11" s="91"/>
      <c r="H11" s="91"/>
      <c r="I11" s="91"/>
    </row>
    <row r="12" spans="1:10" x14ac:dyDescent="0.45">
      <c r="A12" s="88" t="s">
        <v>15</v>
      </c>
      <c r="B12" s="95"/>
      <c r="C12" s="89"/>
      <c r="D12" s="89"/>
      <c r="E12" s="89"/>
      <c r="F12" s="91"/>
      <c r="G12" s="91"/>
      <c r="H12" s="91"/>
      <c r="I12" s="91"/>
    </row>
    <row r="13" spans="1:10" x14ac:dyDescent="0.45">
      <c r="A13" s="115" t="s">
        <v>16</v>
      </c>
      <c r="B13" s="116" t="s">
        <v>17</v>
      </c>
      <c r="C13" s="89"/>
      <c r="D13" s="115" t="s">
        <v>18</v>
      </c>
      <c r="E13" s="116" t="s">
        <v>17</v>
      </c>
      <c r="F13" s="91"/>
      <c r="G13" s="91"/>
      <c r="H13" s="91"/>
      <c r="I13" s="91"/>
    </row>
    <row r="14" spans="1:10" x14ac:dyDescent="0.45">
      <c r="A14" s="115" t="s">
        <v>19</v>
      </c>
      <c r="B14" s="116" t="s">
        <v>17</v>
      </c>
      <c r="C14" s="89"/>
      <c r="D14" s="115" t="s">
        <v>20</v>
      </c>
      <c r="E14" s="116" t="s">
        <v>17</v>
      </c>
      <c r="F14" s="91"/>
      <c r="G14" s="91"/>
      <c r="H14" s="91"/>
      <c r="I14" s="91"/>
    </row>
    <row r="15" spans="1:10" x14ac:dyDescent="0.45">
      <c r="A15" s="89"/>
      <c r="B15" s="89"/>
      <c r="C15" s="89"/>
      <c r="D15" s="89"/>
      <c r="E15" s="89"/>
      <c r="F15" s="91"/>
      <c r="G15" s="91"/>
      <c r="H15" s="91"/>
      <c r="I15" s="91"/>
    </row>
    <row r="16" spans="1:10" x14ac:dyDescent="0.45">
      <c r="A16" s="89"/>
      <c r="B16" s="89"/>
      <c r="C16" s="89"/>
      <c r="D16" s="89"/>
      <c r="E16" s="89"/>
      <c r="F16" s="91"/>
      <c r="G16" s="91"/>
      <c r="H16" s="91"/>
      <c r="I16" s="91"/>
    </row>
    <row r="17" spans="1:9" x14ac:dyDescent="0.45">
      <c r="A17" s="89"/>
      <c r="B17" s="89"/>
      <c r="C17" s="89"/>
      <c r="D17" s="89"/>
      <c r="E17" s="89"/>
      <c r="F17" s="91"/>
      <c r="G17" s="91"/>
      <c r="H17" s="91"/>
      <c r="I17" s="91"/>
    </row>
    <row r="18" spans="1:9" x14ac:dyDescent="0.45">
      <c r="A18" s="89"/>
      <c r="B18" s="96" t="s">
        <v>21</v>
      </c>
      <c r="C18" s="97" t="s">
        <v>22</v>
      </c>
      <c r="D18" s="98" t="s">
        <v>23</v>
      </c>
      <c r="E18" s="98" t="s">
        <v>24</v>
      </c>
      <c r="F18" s="98" t="s">
        <v>25</v>
      </c>
      <c r="G18" s="98" t="s">
        <v>55</v>
      </c>
      <c r="H18" s="98" t="s">
        <v>53</v>
      </c>
      <c r="I18" s="98" t="s">
        <v>54</v>
      </c>
    </row>
    <row r="19" spans="1:9" x14ac:dyDescent="0.45">
      <c r="A19" s="19"/>
      <c r="B19" s="20"/>
      <c r="C19" s="20"/>
      <c r="D19" s="99" t="e">
        <f>B72</f>
        <v>#DIV/0!</v>
      </c>
      <c r="E19" s="100" t="e">
        <f>C72</f>
        <v>#DIV/0!</v>
      </c>
      <c r="F19" s="101" t="e">
        <f>IF(AND(B19&lt;D19,C19&lt;E19),"Blue",(IF(AND(B19&lt;D19,C19&gt;E19),"Red",(IF(AND(B19&gt;D19,C19&gt;E19),"Green",(IF(AND(B19&gt;D19,C19&lt;E19),"Yellow")))))))</f>
        <v>#DIV/0!</v>
      </c>
      <c r="G19" s="108"/>
      <c r="H19" s="108"/>
      <c r="I19" s="108"/>
    </row>
    <row r="20" spans="1:9" x14ac:dyDescent="0.45">
      <c r="A20" s="19"/>
      <c r="B20" s="20"/>
      <c r="C20" s="20"/>
      <c r="D20" s="99" t="e">
        <f>B72</f>
        <v>#DIV/0!</v>
      </c>
      <c r="E20" s="100" t="e">
        <f>C72</f>
        <v>#DIV/0!</v>
      </c>
      <c r="F20" s="101" t="e">
        <f t="shared" ref="F20:F68" si="0">IF(AND(B20&lt;D20,C20&lt;E20),"Blue",(IF(AND(B20&lt;D20,C20&gt;E20),"Red",(IF(AND(B20&gt;D20,C20&gt;E20),"Green",(IF(AND(B20&gt;D20,C20&lt;E20),"Yellow")))))))</f>
        <v>#DIV/0!</v>
      </c>
      <c r="G20" s="108"/>
      <c r="H20" s="108"/>
      <c r="I20" s="108"/>
    </row>
    <row r="21" spans="1:9" x14ac:dyDescent="0.45">
      <c r="A21" s="19"/>
      <c r="B21" s="20"/>
      <c r="C21" s="20"/>
      <c r="D21" s="99" t="e">
        <f>B72</f>
        <v>#DIV/0!</v>
      </c>
      <c r="E21" s="100" t="e">
        <f>C72</f>
        <v>#DIV/0!</v>
      </c>
      <c r="F21" s="101" t="e">
        <f t="shared" si="0"/>
        <v>#DIV/0!</v>
      </c>
      <c r="G21" s="108"/>
      <c r="H21" s="108"/>
      <c r="I21" s="108"/>
    </row>
    <row r="22" spans="1:9" x14ac:dyDescent="0.45">
      <c r="A22" s="19"/>
      <c r="B22" s="20"/>
      <c r="C22" s="20"/>
      <c r="D22" s="99" t="e">
        <f>B72</f>
        <v>#DIV/0!</v>
      </c>
      <c r="E22" s="100" t="e">
        <f>C72</f>
        <v>#DIV/0!</v>
      </c>
      <c r="F22" s="101" t="e">
        <f t="shared" si="0"/>
        <v>#DIV/0!</v>
      </c>
      <c r="G22" s="108"/>
      <c r="H22" s="108"/>
      <c r="I22" s="108"/>
    </row>
    <row r="23" spans="1:9" x14ac:dyDescent="0.45">
      <c r="A23" s="19"/>
      <c r="B23" s="20"/>
      <c r="C23" s="20"/>
      <c r="D23" s="99" t="e">
        <f>B72</f>
        <v>#DIV/0!</v>
      </c>
      <c r="E23" s="100" t="e">
        <f>C72</f>
        <v>#DIV/0!</v>
      </c>
      <c r="F23" s="101" t="e">
        <f>IF(AND(B23&lt;D23,C23&lt;E23),"Blue",(IF(AND(B23&lt;D23,C23&gt;E23),"Red",(IF(AND(B23&gt;D23,C23&gt;E23),"Green",(IF(AND(B23&gt;D23,C23&lt;E23),"Yellow")))))))</f>
        <v>#DIV/0!</v>
      </c>
      <c r="G23" s="108"/>
      <c r="H23" s="108"/>
      <c r="I23" s="108"/>
    </row>
    <row r="24" spans="1:9" x14ac:dyDescent="0.45">
      <c r="A24" s="19"/>
      <c r="B24" s="20"/>
      <c r="C24" s="20"/>
      <c r="D24" s="99" t="e">
        <f>B72</f>
        <v>#DIV/0!</v>
      </c>
      <c r="E24" s="100" t="e">
        <f>C72</f>
        <v>#DIV/0!</v>
      </c>
      <c r="F24" s="101" t="e">
        <f t="shared" si="0"/>
        <v>#DIV/0!</v>
      </c>
      <c r="G24" s="108"/>
      <c r="H24" s="108"/>
      <c r="I24" s="108"/>
    </row>
    <row r="25" spans="1:9" x14ac:dyDescent="0.45">
      <c r="A25" s="19"/>
      <c r="B25" s="20"/>
      <c r="C25" s="20"/>
      <c r="D25" s="99" t="e">
        <f>B72</f>
        <v>#DIV/0!</v>
      </c>
      <c r="E25" s="100" t="e">
        <f>C72</f>
        <v>#DIV/0!</v>
      </c>
      <c r="F25" s="101" t="e">
        <f t="shared" si="0"/>
        <v>#DIV/0!</v>
      </c>
      <c r="G25" s="108"/>
      <c r="H25" s="108"/>
      <c r="I25" s="108"/>
    </row>
    <row r="26" spans="1:9" x14ac:dyDescent="0.45">
      <c r="A26" s="19"/>
      <c r="B26" s="20"/>
      <c r="C26" s="20"/>
      <c r="D26" s="99" t="e">
        <f>B72</f>
        <v>#DIV/0!</v>
      </c>
      <c r="E26" s="100" t="e">
        <f>C72</f>
        <v>#DIV/0!</v>
      </c>
      <c r="F26" s="101" t="e">
        <f t="shared" si="0"/>
        <v>#DIV/0!</v>
      </c>
      <c r="G26" s="108"/>
      <c r="H26" s="108"/>
      <c r="I26" s="108"/>
    </row>
    <row r="27" spans="1:9" x14ac:dyDescent="0.45">
      <c r="A27" s="19"/>
      <c r="B27" s="20"/>
      <c r="C27" s="20"/>
      <c r="D27" s="99" t="e">
        <f>B72</f>
        <v>#DIV/0!</v>
      </c>
      <c r="E27" s="100" t="e">
        <f>C72</f>
        <v>#DIV/0!</v>
      </c>
      <c r="F27" s="101" t="e">
        <f t="shared" si="0"/>
        <v>#DIV/0!</v>
      </c>
      <c r="G27" s="108"/>
      <c r="H27" s="108"/>
      <c r="I27" s="108"/>
    </row>
    <row r="28" spans="1:9" x14ac:dyDescent="0.45">
      <c r="A28" s="19"/>
      <c r="B28" s="20"/>
      <c r="C28" s="20"/>
      <c r="D28" s="99" t="e">
        <f>B72</f>
        <v>#DIV/0!</v>
      </c>
      <c r="E28" s="100" t="e">
        <f>C72</f>
        <v>#DIV/0!</v>
      </c>
      <c r="F28" s="101" t="e">
        <f t="shared" si="0"/>
        <v>#DIV/0!</v>
      </c>
      <c r="G28" s="108"/>
      <c r="H28" s="108"/>
      <c r="I28" s="108"/>
    </row>
    <row r="29" spans="1:9" x14ac:dyDescent="0.45">
      <c r="A29" s="19"/>
      <c r="B29" s="20"/>
      <c r="C29" s="20"/>
      <c r="D29" s="99" t="e">
        <f>B72</f>
        <v>#DIV/0!</v>
      </c>
      <c r="E29" s="100" t="e">
        <f>C72</f>
        <v>#DIV/0!</v>
      </c>
      <c r="F29" s="101" t="e">
        <f t="shared" si="0"/>
        <v>#DIV/0!</v>
      </c>
      <c r="G29" s="108"/>
      <c r="H29" s="108"/>
      <c r="I29" s="108"/>
    </row>
    <row r="30" spans="1:9" x14ac:dyDescent="0.45">
      <c r="A30" s="19"/>
      <c r="B30" s="20"/>
      <c r="C30" s="20"/>
      <c r="D30" s="99" t="e">
        <f>B72</f>
        <v>#DIV/0!</v>
      </c>
      <c r="E30" s="100" t="e">
        <f>C72</f>
        <v>#DIV/0!</v>
      </c>
      <c r="F30" s="101" t="e">
        <f t="shared" si="0"/>
        <v>#DIV/0!</v>
      </c>
      <c r="G30" s="108"/>
      <c r="H30" s="108"/>
      <c r="I30" s="108"/>
    </row>
    <row r="31" spans="1:9" x14ac:dyDescent="0.45">
      <c r="A31" s="19"/>
      <c r="B31" s="20"/>
      <c r="C31" s="20"/>
      <c r="D31" s="99" t="e">
        <f>B72</f>
        <v>#DIV/0!</v>
      </c>
      <c r="E31" s="100" t="e">
        <f>C72</f>
        <v>#DIV/0!</v>
      </c>
      <c r="F31" s="101" t="e">
        <f t="shared" si="0"/>
        <v>#DIV/0!</v>
      </c>
      <c r="G31" s="108"/>
      <c r="H31" s="108"/>
      <c r="I31" s="108"/>
    </row>
    <row r="32" spans="1:9" x14ac:dyDescent="0.45">
      <c r="A32" s="19"/>
      <c r="B32" s="20"/>
      <c r="C32" s="20"/>
      <c r="D32" s="99" t="e">
        <f>B72</f>
        <v>#DIV/0!</v>
      </c>
      <c r="E32" s="100" t="e">
        <f>C72</f>
        <v>#DIV/0!</v>
      </c>
      <c r="F32" s="101" t="e">
        <f t="shared" si="0"/>
        <v>#DIV/0!</v>
      </c>
      <c r="G32" s="108"/>
      <c r="H32" s="108"/>
      <c r="I32" s="108"/>
    </row>
    <row r="33" spans="1:9" x14ac:dyDescent="0.45">
      <c r="A33" s="19"/>
      <c r="B33" s="20"/>
      <c r="C33" s="20"/>
      <c r="D33" s="99" t="e">
        <f>B72</f>
        <v>#DIV/0!</v>
      </c>
      <c r="E33" s="100" t="e">
        <f>C72</f>
        <v>#DIV/0!</v>
      </c>
      <c r="F33" s="101" t="e">
        <f t="shared" si="0"/>
        <v>#DIV/0!</v>
      </c>
      <c r="G33" s="108"/>
      <c r="H33" s="108"/>
      <c r="I33" s="108"/>
    </row>
    <row r="34" spans="1:9" x14ac:dyDescent="0.45">
      <c r="A34" s="19"/>
      <c r="B34" s="20"/>
      <c r="C34" s="20"/>
      <c r="D34" s="99" t="e">
        <f>B72</f>
        <v>#DIV/0!</v>
      </c>
      <c r="E34" s="100" t="e">
        <f>C72</f>
        <v>#DIV/0!</v>
      </c>
      <c r="F34" s="101" t="e">
        <f t="shared" si="0"/>
        <v>#DIV/0!</v>
      </c>
      <c r="G34" s="108"/>
      <c r="H34" s="108"/>
      <c r="I34" s="108"/>
    </row>
    <row r="35" spans="1:9" x14ac:dyDescent="0.45">
      <c r="A35" s="19"/>
      <c r="B35" s="20"/>
      <c r="C35" s="20"/>
      <c r="D35" s="99" t="e">
        <f>B72</f>
        <v>#DIV/0!</v>
      </c>
      <c r="E35" s="100" t="e">
        <f>C72</f>
        <v>#DIV/0!</v>
      </c>
      <c r="F35" s="101" t="e">
        <f t="shared" si="0"/>
        <v>#DIV/0!</v>
      </c>
      <c r="G35" s="108"/>
      <c r="H35" s="108"/>
      <c r="I35" s="108"/>
    </row>
    <row r="36" spans="1:9" x14ac:dyDescent="0.45">
      <c r="A36" s="19"/>
      <c r="B36" s="20"/>
      <c r="C36" s="20"/>
      <c r="D36" s="99" t="e">
        <f>B72</f>
        <v>#DIV/0!</v>
      </c>
      <c r="E36" s="100" t="e">
        <f>C72</f>
        <v>#DIV/0!</v>
      </c>
      <c r="F36" s="101" t="e">
        <f t="shared" si="0"/>
        <v>#DIV/0!</v>
      </c>
      <c r="G36" s="108"/>
      <c r="H36" s="108"/>
      <c r="I36" s="108"/>
    </row>
    <row r="37" spans="1:9" x14ac:dyDescent="0.45">
      <c r="A37" s="19"/>
      <c r="B37" s="20"/>
      <c r="C37" s="20"/>
      <c r="D37" s="99" t="e">
        <f>B72</f>
        <v>#DIV/0!</v>
      </c>
      <c r="E37" s="100" t="e">
        <f>C72</f>
        <v>#DIV/0!</v>
      </c>
      <c r="F37" s="101" t="e">
        <f t="shared" si="0"/>
        <v>#DIV/0!</v>
      </c>
      <c r="G37" s="108"/>
      <c r="H37" s="108"/>
      <c r="I37" s="108"/>
    </row>
    <row r="38" spans="1:9" x14ac:dyDescent="0.45">
      <c r="A38" s="19"/>
      <c r="B38" s="20"/>
      <c r="C38" s="20"/>
      <c r="D38" s="99" t="e">
        <f>B72</f>
        <v>#DIV/0!</v>
      </c>
      <c r="E38" s="100" t="e">
        <f>C72</f>
        <v>#DIV/0!</v>
      </c>
      <c r="F38" s="101" t="e">
        <f t="shared" si="0"/>
        <v>#DIV/0!</v>
      </c>
      <c r="G38" s="108"/>
      <c r="H38" s="108"/>
      <c r="I38" s="108"/>
    </row>
    <row r="39" spans="1:9" x14ac:dyDescent="0.45">
      <c r="A39" s="19"/>
      <c r="B39" s="20"/>
      <c r="C39" s="20"/>
      <c r="D39" s="99" t="e">
        <f>B72</f>
        <v>#DIV/0!</v>
      </c>
      <c r="E39" s="100" t="e">
        <f>C72</f>
        <v>#DIV/0!</v>
      </c>
      <c r="F39" s="101" t="e">
        <f t="shared" si="0"/>
        <v>#DIV/0!</v>
      </c>
      <c r="G39" s="108"/>
      <c r="H39" s="108"/>
      <c r="I39" s="108"/>
    </row>
    <row r="40" spans="1:9" x14ac:dyDescent="0.45">
      <c r="A40" s="19"/>
      <c r="B40" s="20"/>
      <c r="C40" s="20"/>
      <c r="D40" s="99" t="e">
        <f>B72</f>
        <v>#DIV/0!</v>
      </c>
      <c r="E40" s="100" t="e">
        <f>C72</f>
        <v>#DIV/0!</v>
      </c>
      <c r="F40" s="101" t="e">
        <f t="shared" si="0"/>
        <v>#DIV/0!</v>
      </c>
      <c r="G40" s="108"/>
      <c r="H40" s="108"/>
      <c r="I40" s="108"/>
    </row>
    <row r="41" spans="1:9" x14ac:dyDescent="0.45">
      <c r="A41" s="19"/>
      <c r="B41" s="20"/>
      <c r="C41" s="20"/>
      <c r="D41" s="99" t="e">
        <f>B72</f>
        <v>#DIV/0!</v>
      </c>
      <c r="E41" s="100" t="e">
        <f>C72</f>
        <v>#DIV/0!</v>
      </c>
      <c r="F41" s="101" t="e">
        <f t="shared" si="0"/>
        <v>#DIV/0!</v>
      </c>
      <c r="G41" s="108"/>
      <c r="H41" s="108"/>
      <c r="I41" s="108"/>
    </row>
    <row r="42" spans="1:9" x14ac:dyDescent="0.45">
      <c r="A42" s="19"/>
      <c r="B42" s="20"/>
      <c r="C42" s="20"/>
      <c r="D42" s="99" t="e">
        <f>B72</f>
        <v>#DIV/0!</v>
      </c>
      <c r="E42" s="100" t="e">
        <f>C72</f>
        <v>#DIV/0!</v>
      </c>
      <c r="F42" s="101" t="e">
        <f t="shared" si="0"/>
        <v>#DIV/0!</v>
      </c>
      <c r="G42" s="108"/>
      <c r="H42" s="108"/>
      <c r="I42" s="108"/>
    </row>
    <row r="43" spans="1:9" x14ac:dyDescent="0.45">
      <c r="A43" s="19"/>
      <c r="B43" s="20"/>
      <c r="C43" s="20"/>
      <c r="D43" s="99" t="e">
        <f>B72</f>
        <v>#DIV/0!</v>
      </c>
      <c r="E43" s="100" t="e">
        <f>C72</f>
        <v>#DIV/0!</v>
      </c>
      <c r="F43" s="101" t="e">
        <f t="shared" si="0"/>
        <v>#DIV/0!</v>
      </c>
      <c r="G43" s="108"/>
      <c r="H43" s="108"/>
      <c r="I43" s="108"/>
    </row>
    <row r="44" spans="1:9" x14ac:dyDescent="0.45">
      <c r="A44" s="19"/>
      <c r="B44" s="20"/>
      <c r="C44" s="20"/>
      <c r="D44" s="99" t="e">
        <f>B72</f>
        <v>#DIV/0!</v>
      </c>
      <c r="E44" s="100" t="e">
        <f>C72</f>
        <v>#DIV/0!</v>
      </c>
      <c r="F44" s="101" t="e">
        <f t="shared" si="0"/>
        <v>#DIV/0!</v>
      </c>
      <c r="G44" s="108"/>
      <c r="H44" s="108"/>
      <c r="I44" s="108"/>
    </row>
    <row r="45" spans="1:9" x14ac:dyDescent="0.45">
      <c r="A45" s="19"/>
      <c r="B45" s="20"/>
      <c r="C45" s="20"/>
      <c r="D45" s="99" t="e">
        <f>B72</f>
        <v>#DIV/0!</v>
      </c>
      <c r="E45" s="100" t="e">
        <f>C72</f>
        <v>#DIV/0!</v>
      </c>
      <c r="F45" s="101" t="e">
        <f t="shared" si="0"/>
        <v>#DIV/0!</v>
      </c>
      <c r="G45" s="108"/>
      <c r="H45" s="108"/>
      <c r="I45" s="108"/>
    </row>
    <row r="46" spans="1:9" x14ac:dyDescent="0.45">
      <c r="A46" s="19"/>
      <c r="B46" s="20"/>
      <c r="C46" s="20"/>
      <c r="D46" s="99" t="e">
        <f>B72</f>
        <v>#DIV/0!</v>
      </c>
      <c r="E46" s="100" t="e">
        <f>C72</f>
        <v>#DIV/0!</v>
      </c>
      <c r="F46" s="101" t="e">
        <f t="shared" si="0"/>
        <v>#DIV/0!</v>
      </c>
      <c r="G46" s="108"/>
      <c r="H46" s="108"/>
      <c r="I46" s="108"/>
    </row>
    <row r="47" spans="1:9" x14ac:dyDescent="0.45">
      <c r="A47" s="19"/>
      <c r="B47" s="20"/>
      <c r="C47" s="20"/>
      <c r="D47" s="99" t="e">
        <f>B72</f>
        <v>#DIV/0!</v>
      </c>
      <c r="E47" s="100" t="e">
        <f>C72</f>
        <v>#DIV/0!</v>
      </c>
      <c r="F47" s="101" t="e">
        <f t="shared" si="0"/>
        <v>#DIV/0!</v>
      </c>
      <c r="G47" s="108"/>
      <c r="H47" s="108"/>
      <c r="I47" s="108"/>
    </row>
    <row r="48" spans="1:9" x14ac:dyDescent="0.45">
      <c r="A48" s="19"/>
      <c r="B48" s="20"/>
      <c r="C48" s="20"/>
      <c r="D48" s="99" t="e">
        <f>B72</f>
        <v>#DIV/0!</v>
      </c>
      <c r="E48" s="100" t="e">
        <f>C72</f>
        <v>#DIV/0!</v>
      </c>
      <c r="F48" s="101" t="e">
        <f t="shared" si="0"/>
        <v>#DIV/0!</v>
      </c>
      <c r="G48" s="108"/>
      <c r="H48" s="108"/>
      <c r="I48" s="108"/>
    </row>
    <row r="49" spans="1:9" x14ac:dyDescent="0.45">
      <c r="A49" s="19"/>
      <c r="B49" s="20"/>
      <c r="C49" s="20"/>
      <c r="D49" s="99" t="e">
        <f>B72</f>
        <v>#DIV/0!</v>
      </c>
      <c r="E49" s="100" t="e">
        <f>C72</f>
        <v>#DIV/0!</v>
      </c>
      <c r="F49" s="101" t="e">
        <f t="shared" si="0"/>
        <v>#DIV/0!</v>
      </c>
      <c r="G49" s="108"/>
      <c r="H49" s="108"/>
      <c r="I49" s="108"/>
    </row>
    <row r="50" spans="1:9" x14ac:dyDescent="0.45">
      <c r="A50" s="19"/>
      <c r="B50" s="20"/>
      <c r="C50" s="20"/>
      <c r="D50" s="99" t="e">
        <f>B72</f>
        <v>#DIV/0!</v>
      </c>
      <c r="E50" s="100" t="e">
        <f>C72</f>
        <v>#DIV/0!</v>
      </c>
      <c r="F50" s="101" t="e">
        <f t="shared" si="0"/>
        <v>#DIV/0!</v>
      </c>
      <c r="G50" s="108"/>
      <c r="H50" s="108"/>
      <c r="I50" s="108"/>
    </row>
    <row r="51" spans="1:9" x14ac:dyDescent="0.45">
      <c r="A51" s="19"/>
      <c r="B51" s="20"/>
      <c r="C51" s="20"/>
      <c r="D51" s="99" t="e">
        <f>B72</f>
        <v>#DIV/0!</v>
      </c>
      <c r="E51" s="100" t="e">
        <f>C72</f>
        <v>#DIV/0!</v>
      </c>
      <c r="F51" s="101" t="e">
        <f t="shared" si="0"/>
        <v>#DIV/0!</v>
      </c>
      <c r="G51" s="108"/>
      <c r="H51" s="108"/>
      <c r="I51" s="108"/>
    </row>
    <row r="52" spans="1:9" x14ac:dyDescent="0.45">
      <c r="A52" s="19"/>
      <c r="B52" s="20"/>
      <c r="C52" s="20"/>
      <c r="D52" s="99" t="e">
        <f>B72</f>
        <v>#DIV/0!</v>
      </c>
      <c r="E52" s="100" t="e">
        <f>C72</f>
        <v>#DIV/0!</v>
      </c>
      <c r="F52" s="101" t="e">
        <f t="shared" si="0"/>
        <v>#DIV/0!</v>
      </c>
      <c r="G52" s="108"/>
      <c r="H52" s="108"/>
      <c r="I52" s="108"/>
    </row>
    <row r="53" spans="1:9" x14ac:dyDescent="0.45">
      <c r="A53" s="19"/>
      <c r="B53" s="20"/>
      <c r="C53" s="20"/>
      <c r="D53" s="99" t="e">
        <f>B72</f>
        <v>#DIV/0!</v>
      </c>
      <c r="E53" s="100" t="e">
        <f>C72</f>
        <v>#DIV/0!</v>
      </c>
      <c r="F53" s="101" t="e">
        <f t="shared" si="0"/>
        <v>#DIV/0!</v>
      </c>
      <c r="G53" s="108"/>
      <c r="H53" s="108"/>
      <c r="I53" s="108"/>
    </row>
    <row r="54" spans="1:9" x14ac:dyDescent="0.45">
      <c r="A54" s="102"/>
      <c r="B54" s="103"/>
      <c r="C54" s="104"/>
      <c r="D54" s="99" t="e">
        <f>B72</f>
        <v>#DIV/0!</v>
      </c>
      <c r="E54" s="100" t="e">
        <f>C72</f>
        <v>#DIV/0!</v>
      </c>
      <c r="F54" s="101" t="e">
        <f t="shared" si="0"/>
        <v>#DIV/0!</v>
      </c>
      <c r="G54" s="108"/>
      <c r="H54" s="108"/>
      <c r="I54" s="108"/>
    </row>
    <row r="55" spans="1:9" x14ac:dyDescent="0.45">
      <c r="A55" s="102"/>
      <c r="B55" s="103"/>
      <c r="C55" s="104"/>
      <c r="D55" s="99" t="e">
        <f>B72</f>
        <v>#DIV/0!</v>
      </c>
      <c r="E55" s="100" t="e">
        <f>C72</f>
        <v>#DIV/0!</v>
      </c>
      <c r="F55" s="101" t="e">
        <f t="shared" si="0"/>
        <v>#DIV/0!</v>
      </c>
      <c r="G55" s="108"/>
      <c r="H55" s="108"/>
      <c r="I55" s="108"/>
    </row>
    <row r="56" spans="1:9" x14ac:dyDescent="0.45">
      <c r="A56" s="102"/>
      <c r="B56" s="103"/>
      <c r="C56" s="104"/>
      <c r="D56" s="99" t="e">
        <f>B72</f>
        <v>#DIV/0!</v>
      </c>
      <c r="E56" s="100" t="e">
        <f>C72</f>
        <v>#DIV/0!</v>
      </c>
      <c r="F56" s="101" t="e">
        <f t="shared" si="0"/>
        <v>#DIV/0!</v>
      </c>
      <c r="G56" s="108"/>
      <c r="H56" s="108"/>
      <c r="I56" s="108"/>
    </row>
    <row r="57" spans="1:9" x14ac:dyDescent="0.45">
      <c r="A57" s="102"/>
      <c r="B57" s="103"/>
      <c r="C57" s="104"/>
      <c r="D57" s="99" t="e">
        <f>B72</f>
        <v>#DIV/0!</v>
      </c>
      <c r="E57" s="100" t="e">
        <f>C72</f>
        <v>#DIV/0!</v>
      </c>
      <c r="F57" s="101" t="e">
        <f t="shared" si="0"/>
        <v>#DIV/0!</v>
      </c>
      <c r="G57" s="108"/>
      <c r="H57" s="108"/>
      <c r="I57" s="108"/>
    </row>
    <row r="58" spans="1:9" x14ac:dyDescent="0.45">
      <c r="A58" s="102"/>
      <c r="B58" s="103"/>
      <c r="C58" s="104"/>
      <c r="D58" s="99" t="e">
        <f>B72</f>
        <v>#DIV/0!</v>
      </c>
      <c r="E58" s="100" t="e">
        <f>C72</f>
        <v>#DIV/0!</v>
      </c>
      <c r="F58" s="101" t="e">
        <f t="shared" si="0"/>
        <v>#DIV/0!</v>
      </c>
      <c r="G58" s="108"/>
      <c r="H58" s="108"/>
      <c r="I58" s="108"/>
    </row>
    <row r="59" spans="1:9" x14ac:dyDescent="0.45">
      <c r="A59" s="102"/>
      <c r="B59" s="103"/>
      <c r="C59" s="104"/>
      <c r="D59" s="99" t="e">
        <f>B72</f>
        <v>#DIV/0!</v>
      </c>
      <c r="E59" s="100" t="e">
        <f>C72</f>
        <v>#DIV/0!</v>
      </c>
      <c r="F59" s="101" t="e">
        <f t="shared" si="0"/>
        <v>#DIV/0!</v>
      </c>
      <c r="G59" s="108"/>
      <c r="H59" s="108"/>
      <c r="I59" s="108"/>
    </row>
    <row r="60" spans="1:9" x14ac:dyDescent="0.45">
      <c r="A60" s="102"/>
      <c r="B60" s="103"/>
      <c r="C60" s="104"/>
      <c r="D60" s="99" t="e">
        <f>B72</f>
        <v>#DIV/0!</v>
      </c>
      <c r="E60" s="100" t="e">
        <f>C72</f>
        <v>#DIV/0!</v>
      </c>
      <c r="F60" s="101" t="e">
        <f t="shared" si="0"/>
        <v>#DIV/0!</v>
      </c>
      <c r="G60" s="108"/>
      <c r="H60" s="108"/>
      <c r="I60" s="108"/>
    </row>
    <row r="61" spans="1:9" x14ac:dyDescent="0.45">
      <c r="A61" s="102"/>
      <c r="B61" s="103"/>
      <c r="C61" s="104"/>
      <c r="D61" s="99" t="e">
        <f>B72</f>
        <v>#DIV/0!</v>
      </c>
      <c r="E61" s="100" t="e">
        <f>C72</f>
        <v>#DIV/0!</v>
      </c>
      <c r="F61" s="101" t="e">
        <f t="shared" si="0"/>
        <v>#DIV/0!</v>
      </c>
      <c r="G61" s="108"/>
      <c r="H61" s="108"/>
      <c r="I61" s="108"/>
    </row>
    <row r="62" spans="1:9" x14ac:dyDescent="0.45">
      <c r="A62" s="102"/>
      <c r="B62" s="103"/>
      <c r="C62" s="104"/>
      <c r="D62" s="99" t="e">
        <f>B72</f>
        <v>#DIV/0!</v>
      </c>
      <c r="E62" s="100" t="e">
        <f>C72</f>
        <v>#DIV/0!</v>
      </c>
      <c r="F62" s="101" t="e">
        <f t="shared" si="0"/>
        <v>#DIV/0!</v>
      </c>
      <c r="G62" s="108"/>
      <c r="H62" s="108"/>
      <c r="I62" s="108"/>
    </row>
    <row r="63" spans="1:9" x14ac:dyDescent="0.45">
      <c r="A63" s="102"/>
      <c r="B63" s="103"/>
      <c r="C63" s="104"/>
      <c r="D63" s="99" t="e">
        <f>B72</f>
        <v>#DIV/0!</v>
      </c>
      <c r="E63" s="100" t="e">
        <f>C72</f>
        <v>#DIV/0!</v>
      </c>
      <c r="F63" s="101" t="e">
        <f t="shared" si="0"/>
        <v>#DIV/0!</v>
      </c>
      <c r="G63" s="108"/>
      <c r="H63" s="108"/>
      <c r="I63" s="108"/>
    </row>
    <row r="64" spans="1:9" x14ac:dyDescent="0.45">
      <c r="A64" s="102"/>
      <c r="B64" s="103"/>
      <c r="C64" s="104"/>
      <c r="D64" s="99" t="e">
        <f>B72</f>
        <v>#DIV/0!</v>
      </c>
      <c r="E64" s="100" t="e">
        <f>C72</f>
        <v>#DIV/0!</v>
      </c>
      <c r="F64" s="101" t="e">
        <f t="shared" si="0"/>
        <v>#DIV/0!</v>
      </c>
      <c r="G64" s="108"/>
      <c r="H64" s="108"/>
      <c r="I64" s="108"/>
    </row>
    <row r="65" spans="1:9" x14ac:dyDescent="0.45">
      <c r="A65" s="102"/>
      <c r="B65" s="103"/>
      <c r="C65" s="104"/>
      <c r="D65" s="99" t="e">
        <f>B72</f>
        <v>#DIV/0!</v>
      </c>
      <c r="E65" s="100" t="e">
        <f>C72</f>
        <v>#DIV/0!</v>
      </c>
      <c r="F65" s="101" t="e">
        <f t="shared" si="0"/>
        <v>#DIV/0!</v>
      </c>
      <c r="G65" s="108"/>
      <c r="H65" s="108"/>
      <c r="I65" s="108"/>
    </row>
    <row r="66" spans="1:9" x14ac:dyDescent="0.45">
      <c r="A66" s="102"/>
      <c r="B66" s="103"/>
      <c r="C66" s="104"/>
      <c r="D66" s="99" t="e">
        <f>B72</f>
        <v>#DIV/0!</v>
      </c>
      <c r="E66" s="100" t="e">
        <f>C72</f>
        <v>#DIV/0!</v>
      </c>
      <c r="F66" s="101" t="e">
        <f t="shared" si="0"/>
        <v>#DIV/0!</v>
      </c>
      <c r="G66" s="108"/>
      <c r="H66" s="108"/>
      <c r="I66" s="108"/>
    </row>
    <row r="67" spans="1:9" x14ac:dyDescent="0.45">
      <c r="A67" s="102"/>
      <c r="B67" s="103"/>
      <c r="C67" s="104"/>
      <c r="D67" s="99" t="e">
        <f>B72</f>
        <v>#DIV/0!</v>
      </c>
      <c r="E67" s="100" t="e">
        <f>C72</f>
        <v>#DIV/0!</v>
      </c>
      <c r="F67" s="101" t="e">
        <f t="shared" si="0"/>
        <v>#DIV/0!</v>
      </c>
      <c r="G67" s="108"/>
      <c r="H67" s="108"/>
      <c r="I67" s="108"/>
    </row>
    <row r="68" spans="1:9" x14ac:dyDescent="0.45">
      <c r="A68" s="102"/>
      <c r="B68" s="103"/>
      <c r="C68" s="104"/>
      <c r="D68" s="99" t="e">
        <f>B72</f>
        <v>#DIV/0!</v>
      </c>
      <c r="E68" s="100" t="e">
        <f>C72</f>
        <v>#DIV/0!</v>
      </c>
      <c r="F68" s="101" t="e">
        <f t="shared" si="0"/>
        <v>#DIV/0!</v>
      </c>
      <c r="G68" s="108"/>
      <c r="H68" s="108"/>
      <c r="I68" s="108"/>
    </row>
    <row r="69" spans="1:9" x14ac:dyDescent="0.45">
      <c r="A69" s="105"/>
      <c r="B69" s="106"/>
      <c r="C69" s="107"/>
      <c r="D69" s="99"/>
      <c r="E69" s="100"/>
      <c r="F69" s="108"/>
      <c r="G69" s="108"/>
      <c r="H69" s="108"/>
      <c r="I69" s="108"/>
    </row>
    <row r="70" spans="1:9" x14ac:dyDescent="0.45">
      <c r="A70" s="105"/>
      <c r="B70" s="106"/>
      <c r="C70" s="107"/>
      <c r="D70" s="99"/>
      <c r="E70" s="100"/>
      <c r="F70" s="108"/>
      <c r="G70" s="108"/>
      <c r="H70" s="108"/>
      <c r="I70" s="108"/>
    </row>
    <row r="71" spans="1:9" x14ac:dyDescent="0.45">
      <c r="A71" s="105"/>
      <c r="B71" s="106"/>
      <c r="C71" s="107"/>
      <c r="D71" s="99"/>
      <c r="E71" s="100"/>
      <c r="F71" s="108"/>
      <c r="G71" s="108"/>
      <c r="H71" s="108"/>
      <c r="I71" s="108"/>
    </row>
    <row r="72" spans="1:9" x14ac:dyDescent="0.45">
      <c r="A72" s="109" t="s">
        <v>26</v>
      </c>
      <c r="B72" s="110" t="e">
        <f>AVERAGE(B19:B68)</f>
        <v>#DIV/0!</v>
      </c>
      <c r="C72" s="110" t="e">
        <f>AVERAGE(C19:C68)</f>
        <v>#DIV/0!</v>
      </c>
      <c r="D72" s="99"/>
      <c r="E72" s="100"/>
    </row>
    <row r="73" spans="1:9" x14ac:dyDescent="0.45">
      <c r="A73" s="109" t="s">
        <v>27</v>
      </c>
      <c r="B73" s="110" t="e">
        <f>B72-1.1*(MAX(MAX(B19:B68)-B72,B72-MIN(B19:B68)))</f>
        <v>#DIV/0!</v>
      </c>
      <c r="C73" s="110" t="e">
        <f>C72-1.18*(MAX(MAX(C19:C68)-C72,C72-MIN(C19:C68)))</f>
        <v>#DIV/0!</v>
      </c>
      <c r="D73" s="99"/>
    </row>
    <row r="74" spans="1:9" x14ac:dyDescent="0.45">
      <c r="A74" s="109" t="s">
        <v>28</v>
      </c>
      <c r="B74" s="110" t="e">
        <f>B72+1.1*(MAX(MAX(B19:B68)-B72,B72-MIN(B19:B68)))</f>
        <v>#DIV/0!</v>
      </c>
      <c r="C74" s="110" t="e">
        <f>C72+1.18*(MAX(MAX(C19:C68)-C72,C72-MIN(C19:C68)))</f>
        <v>#DIV/0!</v>
      </c>
      <c r="D74" s="99"/>
    </row>
    <row r="75" spans="1:9" x14ac:dyDescent="0.45">
      <c r="D75" s="99"/>
    </row>
    <row r="76" spans="1:9" x14ac:dyDescent="0.45">
      <c r="B76" s="89"/>
      <c r="C76" s="89"/>
      <c r="D76" s="89"/>
    </row>
    <row r="77" spans="1:9" x14ac:dyDescent="0.45">
      <c r="B77" s="89"/>
      <c r="C77" s="89"/>
      <c r="D77" s="89"/>
    </row>
    <row r="78" spans="1:9" x14ac:dyDescent="0.45">
      <c r="D78" s="99"/>
    </row>
    <row r="79" spans="1:9" x14ac:dyDescent="0.45">
      <c r="D79" s="99"/>
    </row>
    <row r="80" spans="1:9" x14ac:dyDescent="0.45">
      <c r="D80" s="99"/>
    </row>
    <row r="81" spans="4:4" x14ac:dyDescent="0.45">
      <c r="D81" s="99"/>
    </row>
    <row r="82" spans="4:4" x14ac:dyDescent="0.45">
      <c r="D82" s="99"/>
    </row>
    <row r="83" spans="4:4" x14ac:dyDescent="0.45">
      <c r="D83" s="9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9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9C0-7FDB-4324-BB9B-8DB4A0C7820F}">
  <sheetPr codeName="Sheet8"/>
  <dimension ref="A1:J83"/>
  <sheetViews>
    <sheetView zoomScale="85" zoomScaleNormal="85" workbookViewId="0"/>
  </sheetViews>
  <sheetFormatPr defaultColWidth="8.75" defaultRowHeight="16.5" x14ac:dyDescent="0.45"/>
  <cols>
    <col min="1" max="1" width="38.25" customWidth="1"/>
    <col min="4" max="9" width="15.58203125" customWidth="1"/>
    <col min="10" max="10" width="158.33203125" customWidth="1"/>
    <col min="12" max="12" width="147.33203125" customWidth="1"/>
  </cols>
  <sheetData>
    <row r="1" spans="1:10" x14ac:dyDescent="0.45">
      <c r="A1" s="88" t="s">
        <v>0</v>
      </c>
      <c r="B1" s="89"/>
      <c r="C1" s="89"/>
      <c r="D1" s="89"/>
      <c r="E1" s="90"/>
      <c r="F1" s="91"/>
      <c r="G1" s="91"/>
      <c r="H1" s="91"/>
      <c r="I1" s="91"/>
    </row>
    <row r="2" spans="1:10" x14ac:dyDescent="0.45">
      <c r="A2" s="92"/>
      <c r="B2" s="89"/>
      <c r="C2" s="89"/>
      <c r="D2" s="89"/>
      <c r="E2" s="90"/>
      <c r="F2" s="91"/>
      <c r="G2" s="91"/>
      <c r="H2" s="91"/>
      <c r="I2" s="91"/>
    </row>
    <row r="3" spans="1:10" ht="21" x14ac:dyDescent="0.55000000000000004">
      <c r="A3" s="92" t="s">
        <v>1</v>
      </c>
      <c r="B3" s="89"/>
      <c r="C3" s="89"/>
      <c r="D3" s="89"/>
      <c r="E3" s="90"/>
      <c r="F3" s="91"/>
      <c r="G3" s="91"/>
      <c r="H3" s="91"/>
      <c r="I3" s="91"/>
      <c r="J3" s="93" t="s">
        <v>2</v>
      </c>
    </row>
    <row r="4" spans="1:10" ht="21" x14ac:dyDescent="0.55000000000000004">
      <c r="A4" s="92" t="s">
        <v>3</v>
      </c>
      <c r="B4" s="89"/>
      <c r="C4" s="89"/>
      <c r="D4" s="89"/>
      <c r="E4" s="89"/>
      <c r="F4" s="91"/>
      <c r="G4" s="91"/>
      <c r="H4" s="91"/>
      <c r="I4" s="91"/>
      <c r="J4" s="93" t="s">
        <v>4</v>
      </c>
    </row>
    <row r="5" spans="1:10" ht="21" x14ac:dyDescent="0.55000000000000004">
      <c r="A5" s="92"/>
      <c r="B5" s="89"/>
      <c r="C5" s="89"/>
      <c r="D5" s="89"/>
      <c r="E5" s="89"/>
      <c r="F5" s="91"/>
      <c r="G5" s="91"/>
      <c r="H5" s="91"/>
      <c r="I5" s="91"/>
      <c r="J5" s="93" t="s">
        <v>5</v>
      </c>
    </row>
    <row r="6" spans="1:10" ht="21" x14ac:dyDescent="0.55000000000000004">
      <c r="A6" s="92" t="s">
        <v>6</v>
      </c>
      <c r="B6" s="89"/>
      <c r="C6" s="89"/>
      <c r="D6" s="89"/>
      <c r="E6" s="89"/>
      <c r="F6" s="91"/>
      <c r="G6" s="91"/>
      <c r="H6" s="91"/>
      <c r="I6" s="91"/>
      <c r="J6" s="93" t="s">
        <v>7</v>
      </c>
    </row>
    <row r="7" spans="1:10" ht="21" x14ac:dyDescent="0.55000000000000004">
      <c r="A7" s="92"/>
      <c r="B7" s="89"/>
      <c r="C7" s="89"/>
      <c r="D7" s="89"/>
      <c r="E7" s="89"/>
      <c r="F7" s="91"/>
      <c r="G7" s="91"/>
      <c r="H7" s="91"/>
      <c r="I7" s="91"/>
      <c r="J7" s="93"/>
    </row>
    <row r="8" spans="1:10" ht="21" x14ac:dyDescent="0.55000000000000004">
      <c r="A8" s="88" t="s">
        <v>8</v>
      </c>
      <c r="B8" s="89"/>
      <c r="C8" s="89"/>
      <c r="D8" s="89"/>
      <c r="E8" s="89"/>
      <c r="F8" s="91"/>
      <c r="G8" s="91"/>
      <c r="H8" s="91"/>
      <c r="I8" s="91"/>
      <c r="J8" s="93" t="s">
        <v>9</v>
      </c>
    </row>
    <row r="9" spans="1:10" ht="21" x14ac:dyDescent="0.55000000000000004">
      <c r="A9" s="115" t="s">
        <v>10</v>
      </c>
      <c r="B9" s="116" t="s">
        <v>11</v>
      </c>
      <c r="C9" s="89"/>
      <c r="D9" s="89"/>
      <c r="E9" s="89"/>
      <c r="F9" s="91"/>
      <c r="G9" s="91"/>
      <c r="H9" s="91"/>
      <c r="I9" s="91"/>
      <c r="J9" s="94"/>
    </row>
    <row r="10" spans="1:10" ht="21" x14ac:dyDescent="0.55000000000000004">
      <c r="A10" s="115" t="s">
        <v>13</v>
      </c>
      <c r="B10" s="116" t="s">
        <v>14</v>
      </c>
      <c r="C10" s="89"/>
      <c r="D10" s="89"/>
      <c r="E10" s="89"/>
      <c r="F10" s="91"/>
      <c r="G10" s="91"/>
      <c r="H10" s="91"/>
      <c r="I10" s="91"/>
      <c r="J10" s="94"/>
    </row>
    <row r="11" spans="1:10" x14ac:dyDescent="0.45">
      <c r="A11" s="89"/>
      <c r="B11" s="89"/>
      <c r="C11" s="89"/>
      <c r="D11" s="89"/>
      <c r="E11" s="89"/>
      <c r="F11" s="91"/>
      <c r="G11" s="91"/>
      <c r="H11" s="91"/>
      <c r="I11" s="91"/>
    </row>
    <row r="12" spans="1:10" x14ac:dyDescent="0.45">
      <c r="A12" s="88" t="s">
        <v>15</v>
      </c>
      <c r="B12" s="95"/>
      <c r="C12" s="89"/>
      <c r="D12" s="89"/>
      <c r="E12" s="89"/>
      <c r="F12" s="91"/>
      <c r="G12" s="91"/>
      <c r="H12" s="91"/>
      <c r="I12" s="91"/>
    </row>
    <row r="13" spans="1:10" x14ac:dyDescent="0.45">
      <c r="A13" s="115" t="s">
        <v>16</v>
      </c>
      <c r="B13" s="116" t="s">
        <v>17</v>
      </c>
      <c r="C13" s="89"/>
      <c r="D13" s="115" t="s">
        <v>18</v>
      </c>
      <c r="E13" s="116" t="s">
        <v>17</v>
      </c>
      <c r="F13" s="91"/>
      <c r="G13" s="91"/>
      <c r="H13" s="91"/>
      <c r="I13" s="91"/>
    </row>
    <row r="14" spans="1:10" x14ac:dyDescent="0.45">
      <c r="A14" s="115" t="s">
        <v>19</v>
      </c>
      <c r="B14" s="116" t="s">
        <v>17</v>
      </c>
      <c r="C14" s="89"/>
      <c r="D14" s="115" t="s">
        <v>20</v>
      </c>
      <c r="E14" s="116" t="s">
        <v>17</v>
      </c>
      <c r="F14" s="91"/>
      <c r="G14" s="91"/>
      <c r="H14" s="91"/>
      <c r="I14" s="91"/>
    </row>
    <row r="15" spans="1:10" x14ac:dyDescent="0.45">
      <c r="A15" s="89"/>
      <c r="B15" s="89"/>
      <c r="C15" s="89"/>
      <c r="D15" s="89"/>
      <c r="E15" s="89"/>
      <c r="F15" s="91"/>
      <c r="G15" s="91"/>
      <c r="H15" s="91"/>
      <c r="I15" s="91"/>
    </row>
    <row r="16" spans="1:10" x14ac:dyDescent="0.45">
      <c r="A16" s="89"/>
      <c r="B16" s="89"/>
      <c r="C16" s="89"/>
      <c r="D16" s="89"/>
      <c r="E16" s="89"/>
      <c r="F16" s="91"/>
      <c r="G16" s="91"/>
      <c r="H16" s="91"/>
      <c r="I16" s="91"/>
    </row>
    <row r="17" spans="1:9" x14ac:dyDescent="0.45">
      <c r="A17" s="89"/>
      <c r="B17" s="89"/>
      <c r="C17" s="89"/>
      <c r="D17" s="89"/>
      <c r="E17" s="89"/>
      <c r="F17" s="91"/>
      <c r="G17" s="91"/>
      <c r="H17" s="91"/>
      <c r="I17" s="91"/>
    </row>
    <row r="18" spans="1:9" x14ac:dyDescent="0.45">
      <c r="A18" s="89"/>
      <c r="B18" s="96" t="s">
        <v>21</v>
      </c>
      <c r="C18" s="97" t="s">
        <v>22</v>
      </c>
      <c r="D18" s="98" t="s">
        <v>23</v>
      </c>
      <c r="E18" s="98" t="s">
        <v>24</v>
      </c>
      <c r="F18" s="98" t="s">
        <v>25</v>
      </c>
      <c r="G18" s="98" t="s">
        <v>55</v>
      </c>
      <c r="H18" s="98" t="s">
        <v>53</v>
      </c>
      <c r="I18" s="98" t="s">
        <v>54</v>
      </c>
    </row>
    <row r="19" spans="1:9" x14ac:dyDescent="0.45">
      <c r="A19" s="19"/>
      <c r="B19" s="20"/>
      <c r="C19" s="20"/>
      <c r="D19" s="99" t="e">
        <f>B72</f>
        <v>#DIV/0!</v>
      </c>
      <c r="E19" s="100" t="e">
        <f>C72</f>
        <v>#DIV/0!</v>
      </c>
      <c r="F19" s="101" t="e">
        <f>IF(AND(B19&lt;D19,C19&lt;E19),"Blue",(IF(AND(B19&lt;D19,C19&gt;E19),"Red",(IF(AND(B19&gt;D19,C19&gt;E19),"Green",(IF(AND(B19&gt;D19,C19&lt;E19),"Yellow")))))))</f>
        <v>#DIV/0!</v>
      </c>
      <c r="G19" s="108"/>
      <c r="H19" s="108"/>
      <c r="I19" s="108"/>
    </row>
    <row r="20" spans="1:9" x14ac:dyDescent="0.45">
      <c r="A20" s="19"/>
      <c r="B20" s="20"/>
      <c r="C20" s="20"/>
      <c r="D20" s="99" t="e">
        <f>B72</f>
        <v>#DIV/0!</v>
      </c>
      <c r="E20" s="100" t="e">
        <f>C72</f>
        <v>#DIV/0!</v>
      </c>
      <c r="F20" s="101" t="e">
        <f t="shared" ref="F20:F68" si="0">IF(AND(B20&lt;D20,C20&lt;E20),"Blue",(IF(AND(B20&lt;D20,C20&gt;E20),"Red",(IF(AND(B20&gt;D20,C20&gt;E20),"Green",(IF(AND(B20&gt;D20,C20&lt;E20),"Yellow")))))))</f>
        <v>#DIV/0!</v>
      </c>
      <c r="G20" s="108"/>
      <c r="H20" s="108"/>
      <c r="I20" s="108"/>
    </row>
    <row r="21" spans="1:9" x14ac:dyDescent="0.45">
      <c r="A21" s="19"/>
      <c r="B21" s="20"/>
      <c r="C21" s="20"/>
      <c r="D21" s="99" t="e">
        <f>B72</f>
        <v>#DIV/0!</v>
      </c>
      <c r="E21" s="100" t="e">
        <f>C72</f>
        <v>#DIV/0!</v>
      </c>
      <c r="F21" s="101" t="e">
        <f t="shared" si="0"/>
        <v>#DIV/0!</v>
      </c>
      <c r="G21" s="108"/>
      <c r="H21" s="108"/>
      <c r="I21" s="108"/>
    </row>
    <row r="22" spans="1:9" x14ac:dyDescent="0.45">
      <c r="A22" s="19"/>
      <c r="B22" s="20"/>
      <c r="C22" s="20"/>
      <c r="D22" s="99" t="e">
        <f>B72</f>
        <v>#DIV/0!</v>
      </c>
      <c r="E22" s="100" t="e">
        <f>C72</f>
        <v>#DIV/0!</v>
      </c>
      <c r="F22" s="101" t="e">
        <f t="shared" si="0"/>
        <v>#DIV/0!</v>
      </c>
      <c r="G22" s="108"/>
      <c r="H22" s="108"/>
      <c r="I22" s="108"/>
    </row>
    <row r="23" spans="1:9" x14ac:dyDescent="0.45">
      <c r="A23" s="19"/>
      <c r="B23" s="20"/>
      <c r="C23" s="20"/>
      <c r="D23" s="99" t="e">
        <f>B72</f>
        <v>#DIV/0!</v>
      </c>
      <c r="E23" s="100" t="e">
        <f>C72</f>
        <v>#DIV/0!</v>
      </c>
      <c r="F23" s="101" t="e">
        <f>IF(AND(B23&lt;D23,C23&lt;E23),"Blue",(IF(AND(B23&lt;D23,C23&gt;E23),"Red",(IF(AND(B23&gt;D23,C23&gt;E23),"Green",(IF(AND(B23&gt;D23,C23&lt;E23),"Yellow")))))))</f>
        <v>#DIV/0!</v>
      </c>
      <c r="G23" s="108"/>
      <c r="H23" s="108"/>
      <c r="I23" s="108"/>
    </row>
    <row r="24" spans="1:9" x14ac:dyDescent="0.45">
      <c r="A24" s="19"/>
      <c r="B24" s="20"/>
      <c r="C24" s="20"/>
      <c r="D24" s="99" t="e">
        <f>B72</f>
        <v>#DIV/0!</v>
      </c>
      <c r="E24" s="100" t="e">
        <f>C72</f>
        <v>#DIV/0!</v>
      </c>
      <c r="F24" s="101" t="e">
        <f t="shared" si="0"/>
        <v>#DIV/0!</v>
      </c>
      <c r="G24" s="108"/>
      <c r="H24" s="108"/>
      <c r="I24" s="108"/>
    </row>
    <row r="25" spans="1:9" x14ac:dyDescent="0.45">
      <c r="A25" s="19"/>
      <c r="B25" s="20"/>
      <c r="C25" s="20"/>
      <c r="D25" s="99" t="e">
        <f>B72</f>
        <v>#DIV/0!</v>
      </c>
      <c r="E25" s="100" t="e">
        <f>C72</f>
        <v>#DIV/0!</v>
      </c>
      <c r="F25" s="101" t="e">
        <f t="shared" si="0"/>
        <v>#DIV/0!</v>
      </c>
      <c r="G25" s="108"/>
      <c r="H25" s="108"/>
      <c r="I25" s="108"/>
    </row>
    <row r="26" spans="1:9" x14ac:dyDescent="0.45">
      <c r="A26" s="19"/>
      <c r="B26" s="20"/>
      <c r="C26" s="20"/>
      <c r="D26" s="99" t="e">
        <f>B72</f>
        <v>#DIV/0!</v>
      </c>
      <c r="E26" s="100" t="e">
        <f>C72</f>
        <v>#DIV/0!</v>
      </c>
      <c r="F26" s="101" t="e">
        <f t="shared" si="0"/>
        <v>#DIV/0!</v>
      </c>
      <c r="G26" s="108"/>
      <c r="H26" s="108"/>
      <c r="I26" s="108"/>
    </row>
    <row r="27" spans="1:9" x14ac:dyDescent="0.45">
      <c r="A27" s="19"/>
      <c r="B27" s="20"/>
      <c r="C27" s="20"/>
      <c r="D27" s="99" t="e">
        <f>B72</f>
        <v>#DIV/0!</v>
      </c>
      <c r="E27" s="100" t="e">
        <f>C72</f>
        <v>#DIV/0!</v>
      </c>
      <c r="F27" s="101" t="e">
        <f t="shared" si="0"/>
        <v>#DIV/0!</v>
      </c>
      <c r="G27" s="108"/>
      <c r="H27" s="108"/>
      <c r="I27" s="108"/>
    </row>
    <row r="28" spans="1:9" x14ac:dyDescent="0.45">
      <c r="A28" s="19"/>
      <c r="B28" s="20"/>
      <c r="C28" s="20"/>
      <c r="D28" s="99" t="e">
        <f>B72</f>
        <v>#DIV/0!</v>
      </c>
      <c r="E28" s="100" t="e">
        <f>C72</f>
        <v>#DIV/0!</v>
      </c>
      <c r="F28" s="101" t="e">
        <f t="shared" si="0"/>
        <v>#DIV/0!</v>
      </c>
      <c r="G28" s="108"/>
      <c r="H28" s="108"/>
      <c r="I28" s="108"/>
    </row>
    <row r="29" spans="1:9" x14ac:dyDescent="0.45">
      <c r="A29" s="19"/>
      <c r="B29" s="20"/>
      <c r="C29" s="20"/>
      <c r="D29" s="99" t="e">
        <f>B72</f>
        <v>#DIV/0!</v>
      </c>
      <c r="E29" s="100" t="e">
        <f>C72</f>
        <v>#DIV/0!</v>
      </c>
      <c r="F29" s="101" t="e">
        <f t="shared" si="0"/>
        <v>#DIV/0!</v>
      </c>
      <c r="G29" s="108"/>
      <c r="H29" s="108"/>
      <c r="I29" s="108"/>
    </row>
    <row r="30" spans="1:9" x14ac:dyDescent="0.45">
      <c r="A30" s="19"/>
      <c r="B30" s="20"/>
      <c r="C30" s="20"/>
      <c r="D30" s="99" t="e">
        <f>B72</f>
        <v>#DIV/0!</v>
      </c>
      <c r="E30" s="100" t="e">
        <f>C72</f>
        <v>#DIV/0!</v>
      </c>
      <c r="F30" s="101" t="e">
        <f t="shared" si="0"/>
        <v>#DIV/0!</v>
      </c>
      <c r="G30" s="108"/>
      <c r="H30" s="108"/>
      <c r="I30" s="108"/>
    </row>
    <row r="31" spans="1:9" x14ac:dyDescent="0.45">
      <c r="A31" s="19"/>
      <c r="B31" s="20"/>
      <c r="C31" s="20"/>
      <c r="D31" s="99" t="e">
        <f>B72</f>
        <v>#DIV/0!</v>
      </c>
      <c r="E31" s="100" t="e">
        <f>C72</f>
        <v>#DIV/0!</v>
      </c>
      <c r="F31" s="101" t="e">
        <f t="shared" si="0"/>
        <v>#DIV/0!</v>
      </c>
      <c r="G31" s="108"/>
      <c r="H31" s="108"/>
      <c r="I31" s="108"/>
    </row>
    <row r="32" spans="1:9" x14ac:dyDescent="0.45">
      <c r="A32" s="19"/>
      <c r="B32" s="20"/>
      <c r="C32" s="20"/>
      <c r="D32" s="99" t="e">
        <f>B72</f>
        <v>#DIV/0!</v>
      </c>
      <c r="E32" s="100" t="e">
        <f>C72</f>
        <v>#DIV/0!</v>
      </c>
      <c r="F32" s="101" t="e">
        <f t="shared" si="0"/>
        <v>#DIV/0!</v>
      </c>
      <c r="G32" s="108"/>
      <c r="H32" s="108"/>
      <c r="I32" s="108"/>
    </row>
    <row r="33" spans="1:9" x14ac:dyDescent="0.45">
      <c r="A33" s="19"/>
      <c r="B33" s="20"/>
      <c r="C33" s="20"/>
      <c r="D33" s="99" t="e">
        <f>B72</f>
        <v>#DIV/0!</v>
      </c>
      <c r="E33" s="100" t="e">
        <f>C72</f>
        <v>#DIV/0!</v>
      </c>
      <c r="F33" s="101" t="e">
        <f t="shared" si="0"/>
        <v>#DIV/0!</v>
      </c>
      <c r="G33" s="108"/>
      <c r="H33" s="108"/>
      <c r="I33" s="108"/>
    </row>
    <row r="34" spans="1:9" x14ac:dyDescent="0.45">
      <c r="A34" s="19"/>
      <c r="B34" s="20"/>
      <c r="C34" s="20"/>
      <c r="D34" s="99" t="e">
        <f>B72</f>
        <v>#DIV/0!</v>
      </c>
      <c r="E34" s="100" t="e">
        <f>C72</f>
        <v>#DIV/0!</v>
      </c>
      <c r="F34" s="101" t="e">
        <f t="shared" si="0"/>
        <v>#DIV/0!</v>
      </c>
      <c r="G34" s="108"/>
      <c r="H34" s="108"/>
      <c r="I34" s="108"/>
    </row>
    <row r="35" spans="1:9" x14ac:dyDescent="0.45">
      <c r="A35" s="19"/>
      <c r="B35" s="20"/>
      <c r="C35" s="20"/>
      <c r="D35" s="99" t="e">
        <f>B72</f>
        <v>#DIV/0!</v>
      </c>
      <c r="E35" s="100" t="e">
        <f>C72</f>
        <v>#DIV/0!</v>
      </c>
      <c r="F35" s="101" t="e">
        <f t="shared" si="0"/>
        <v>#DIV/0!</v>
      </c>
      <c r="G35" s="108"/>
      <c r="H35" s="108"/>
      <c r="I35" s="108"/>
    </row>
    <row r="36" spans="1:9" x14ac:dyDescent="0.45">
      <c r="A36" s="19"/>
      <c r="B36" s="20"/>
      <c r="C36" s="20"/>
      <c r="D36" s="99" t="e">
        <f>B72</f>
        <v>#DIV/0!</v>
      </c>
      <c r="E36" s="100" t="e">
        <f>C72</f>
        <v>#DIV/0!</v>
      </c>
      <c r="F36" s="101" t="e">
        <f t="shared" si="0"/>
        <v>#DIV/0!</v>
      </c>
      <c r="G36" s="108"/>
      <c r="H36" s="108"/>
      <c r="I36" s="108"/>
    </row>
    <row r="37" spans="1:9" x14ac:dyDescent="0.45">
      <c r="A37" s="19"/>
      <c r="B37" s="20"/>
      <c r="C37" s="20"/>
      <c r="D37" s="99" t="e">
        <f>B72</f>
        <v>#DIV/0!</v>
      </c>
      <c r="E37" s="100" t="e">
        <f>C72</f>
        <v>#DIV/0!</v>
      </c>
      <c r="F37" s="101" t="e">
        <f t="shared" si="0"/>
        <v>#DIV/0!</v>
      </c>
      <c r="G37" s="108"/>
      <c r="H37" s="108"/>
      <c r="I37" s="108"/>
    </row>
    <row r="38" spans="1:9" x14ac:dyDescent="0.45">
      <c r="A38" s="19"/>
      <c r="B38" s="20"/>
      <c r="C38" s="20"/>
      <c r="D38" s="99" t="e">
        <f>B72</f>
        <v>#DIV/0!</v>
      </c>
      <c r="E38" s="100" t="e">
        <f>C72</f>
        <v>#DIV/0!</v>
      </c>
      <c r="F38" s="101" t="e">
        <f t="shared" si="0"/>
        <v>#DIV/0!</v>
      </c>
      <c r="G38" s="108"/>
      <c r="H38" s="108"/>
      <c r="I38" s="108"/>
    </row>
    <row r="39" spans="1:9" x14ac:dyDescent="0.45">
      <c r="A39" s="19"/>
      <c r="B39" s="20"/>
      <c r="C39" s="20"/>
      <c r="D39" s="99" t="e">
        <f>B72</f>
        <v>#DIV/0!</v>
      </c>
      <c r="E39" s="100" t="e">
        <f>C72</f>
        <v>#DIV/0!</v>
      </c>
      <c r="F39" s="101" t="e">
        <f t="shared" si="0"/>
        <v>#DIV/0!</v>
      </c>
      <c r="G39" s="108"/>
      <c r="H39" s="108"/>
      <c r="I39" s="108"/>
    </row>
    <row r="40" spans="1:9" x14ac:dyDescent="0.45">
      <c r="A40" s="19"/>
      <c r="B40" s="20"/>
      <c r="C40" s="20"/>
      <c r="D40" s="99" t="e">
        <f>B72</f>
        <v>#DIV/0!</v>
      </c>
      <c r="E40" s="100" t="e">
        <f>C72</f>
        <v>#DIV/0!</v>
      </c>
      <c r="F40" s="101" t="e">
        <f t="shared" si="0"/>
        <v>#DIV/0!</v>
      </c>
      <c r="G40" s="108"/>
      <c r="H40" s="108"/>
      <c r="I40" s="108"/>
    </row>
    <row r="41" spans="1:9" x14ac:dyDescent="0.45">
      <c r="A41" s="19"/>
      <c r="B41" s="20"/>
      <c r="C41" s="20"/>
      <c r="D41" s="99" t="e">
        <f>B72</f>
        <v>#DIV/0!</v>
      </c>
      <c r="E41" s="100" t="e">
        <f>C72</f>
        <v>#DIV/0!</v>
      </c>
      <c r="F41" s="101" t="e">
        <f t="shared" si="0"/>
        <v>#DIV/0!</v>
      </c>
      <c r="G41" s="108"/>
      <c r="H41" s="108"/>
      <c r="I41" s="108"/>
    </row>
    <row r="42" spans="1:9" x14ac:dyDescent="0.45">
      <c r="A42" s="19"/>
      <c r="B42" s="20"/>
      <c r="C42" s="20"/>
      <c r="D42" s="99" t="e">
        <f>B72</f>
        <v>#DIV/0!</v>
      </c>
      <c r="E42" s="100" t="e">
        <f>C72</f>
        <v>#DIV/0!</v>
      </c>
      <c r="F42" s="101" t="e">
        <f t="shared" si="0"/>
        <v>#DIV/0!</v>
      </c>
      <c r="G42" s="108"/>
      <c r="H42" s="108"/>
      <c r="I42" s="108"/>
    </row>
    <row r="43" spans="1:9" x14ac:dyDescent="0.45">
      <c r="A43" s="19"/>
      <c r="B43" s="20"/>
      <c r="C43" s="20"/>
      <c r="D43" s="99" t="e">
        <f>B72</f>
        <v>#DIV/0!</v>
      </c>
      <c r="E43" s="100" t="e">
        <f>C72</f>
        <v>#DIV/0!</v>
      </c>
      <c r="F43" s="101" t="e">
        <f t="shared" si="0"/>
        <v>#DIV/0!</v>
      </c>
      <c r="G43" s="108"/>
      <c r="H43" s="108"/>
      <c r="I43" s="108"/>
    </row>
    <row r="44" spans="1:9" x14ac:dyDescent="0.45">
      <c r="A44" s="19"/>
      <c r="B44" s="20"/>
      <c r="C44" s="20"/>
      <c r="D44" s="99" t="e">
        <f>B72</f>
        <v>#DIV/0!</v>
      </c>
      <c r="E44" s="100" t="e">
        <f>C72</f>
        <v>#DIV/0!</v>
      </c>
      <c r="F44" s="101" t="e">
        <f t="shared" si="0"/>
        <v>#DIV/0!</v>
      </c>
      <c r="G44" s="108"/>
      <c r="H44" s="108"/>
      <c r="I44" s="108"/>
    </row>
    <row r="45" spans="1:9" x14ac:dyDescent="0.45">
      <c r="A45" s="19"/>
      <c r="B45" s="20"/>
      <c r="C45" s="20"/>
      <c r="D45" s="99" t="e">
        <f>B72</f>
        <v>#DIV/0!</v>
      </c>
      <c r="E45" s="100" t="e">
        <f>C72</f>
        <v>#DIV/0!</v>
      </c>
      <c r="F45" s="101" t="e">
        <f t="shared" si="0"/>
        <v>#DIV/0!</v>
      </c>
      <c r="G45" s="108"/>
      <c r="H45" s="108"/>
      <c r="I45" s="108"/>
    </row>
    <row r="46" spans="1:9" x14ac:dyDescent="0.45">
      <c r="A46" s="19"/>
      <c r="B46" s="20"/>
      <c r="C46" s="20"/>
      <c r="D46" s="99" t="e">
        <f>B72</f>
        <v>#DIV/0!</v>
      </c>
      <c r="E46" s="100" t="e">
        <f>C72</f>
        <v>#DIV/0!</v>
      </c>
      <c r="F46" s="101" t="e">
        <f t="shared" si="0"/>
        <v>#DIV/0!</v>
      </c>
      <c r="G46" s="108"/>
      <c r="H46" s="108"/>
      <c r="I46" s="108"/>
    </row>
    <row r="47" spans="1:9" x14ac:dyDescent="0.45">
      <c r="A47" s="19"/>
      <c r="B47" s="20"/>
      <c r="C47" s="20"/>
      <c r="D47" s="99" t="e">
        <f>B72</f>
        <v>#DIV/0!</v>
      </c>
      <c r="E47" s="100" t="e">
        <f>C72</f>
        <v>#DIV/0!</v>
      </c>
      <c r="F47" s="101" t="e">
        <f t="shared" si="0"/>
        <v>#DIV/0!</v>
      </c>
      <c r="G47" s="108"/>
      <c r="H47" s="108"/>
      <c r="I47" s="108"/>
    </row>
    <row r="48" spans="1:9" x14ac:dyDescent="0.45">
      <c r="A48" s="19"/>
      <c r="B48" s="20"/>
      <c r="C48" s="20"/>
      <c r="D48" s="99" t="e">
        <f>B72</f>
        <v>#DIV/0!</v>
      </c>
      <c r="E48" s="100" t="e">
        <f>C72</f>
        <v>#DIV/0!</v>
      </c>
      <c r="F48" s="101" t="e">
        <f t="shared" si="0"/>
        <v>#DIV/0!</v>
      </c>
      <c r="G48" s="108"/>
      <c r="H48" s="108"/>
      <c r="I48" s="108"/>
    </row>
    <row r="49" spans="1:9" x14ac:dyDescent="0.45">
      <c r="A49" s="19"/>
      <c r="B49" s="20"/>
      <c r="C49" s="20"/>
      <c r="D49" s="99" t="e">
        <f>B72</f>
        <v>#DIV/0!</v>
      </c>
      <c r="E49" s="100" t="e">
        <f>C72</f>
        <v>#DIV/0!</v>
      </c>
      <c r="F49" s="101" t="e">
        <f t="shared" si="0"/>
        <v>#DIV/0!</v>
      </c>
      <c r="G49" s="108"/>
      <c r="H49" s="108"/>
      <c r="I49" s="108"/>
    </row>
    <row r="50" spans="1:9" x14ac:dyDescent="0.45">
      <c r="A50" s="19"/>
      <c r="B50" s="20"/>
      <c r="C50" s="20"/>
      <c r="D50" s="99" t="e">
        <f>B72</f>
        <v>#DIV/0!</v>
      </c>
      <c r="E50" s="100" t="e">
        <f>C72</f>
        <v>#DIV/0!</v>
      </c>
      <c r="F50" s="101" t="e">
        <f t="shared" si="0"/>
        <v>#DIV/0!</v>
      </c>
      <c r="G50" s="108"/>
      <c r="H50" s="108"/>
      <c r="I50" s="108"/>
    </row>
    <row r="51" spans="1:9" x14ac:dyDescent="0.45">
      <c r="A51" s="19"/>
      <c r="B51" s="20"/>
      <c r="C51" s="20"/>
      <c r="D51" s="99" t="e">
        <f>B72</f>
        <v>#DIV/0!</v>
      </c>
      <c r="E51" s="100" t="e">
        <f>C72</f>
        <v>#DIV/0!</v>
      </c>
      <c r="F51" s="101" t="e">
        <f t="shared" si="0"/>
        <v>#DIV/0!</v>
      </c>
      <c r="G51" s="108"/>
      <c r="H51" s="108"/>
      <c r="I51" s="108"/>
    </row>
    <row r="52" spans="1:9" x14ac:dyDescent="0.45">
      <c r="A52" s="19"/>
      <c r="B52" s="20"/>
      <c r="C52" s="20"/>
      <c r="D52" s="99" t="e">
        <f>B72</f>
        <v>#DIV/0!</v>
      </c>
      <c r="E52" s="100" t="e">
        <f>C72</f>
        <v>#DIV/0!</v>
      </c>
      <c r="F52" s="101" t="e">
        <f t="shared" si="0"/>
        <v>#DIV/0!</v>
      </c>
      <c r="G52" s="108"/>
      <c r="H52" s="108"/>
      <c r="I52" s="108"/>
    </row>
    <row r="53" spans="1:9" x14ac:dyDescent="0.45">
      <c r="A53" s="19"/>
      <c r="B53" s="20"/>
      <c r="C53" s="20"/>
      <c r="D53" s="99" t="e">
        <f>B72</f>
        <v>#DIV/0!</v>
      </c>
      <c r="E53" s="100" t="e">
        <f>C72</f>
        <v>#DIV/0!</v>
      </c>
      <c r="F53" s="101" t="e">
        <f t="shared" si="0"/>
        <v>#DIV/0!</v>
      </c>
      <c r="G53" s="108"/>
      <c r="H53" s="108"/>
      <c r="I53" s="108"/>
    </row>
    <row r="54" spans="1:9" x14ac:dyDescent="0.45">
      <c r="A54" s="102"/>
      <c r="B54" s="103"/>
      <c r="C54" s="104"/>
      <c r="D54" s="99" t="e">
        <f>B72</f>
        <v>#DIV/0!</v>
      </c>
      <c r="E54" s="100" t="e">
        <f>C72</f>
        <v>#DIV/0!</v>
      </c>
      <c r="F54" s="101" t="e">
        <f t="shared" si="0"/>
        <v>#DIV/0!</v>
      </c>
      <c r="G54" s="108"/>
      <c r="H54" s="108"/>
      <c r="I54" s="108"/>
    </row>
    <row r="55" spans="1:9" x14ac:dyDescent="0.45">
      <c r="A55" s="102"/>
      <c r="B55" s="103"/>
      <c r="C55" s="104"/>
      <c r="D55" s="99" t="e">
        <f>B72</f>
        <v>#DIV/0!</v>
      </c>
      <c r="E55" s="100" t="e">
        <f>C72</f>
        <v>#DIV/0!</v>
      </c>
      <c r="F55" s="101" t="e">
        <f t="shared" si="0"/>
        <v>#DIV/0!</v>
      </c>
      <c r="G55" s="108"/>
      <c r="H55" s="108"/>
      <c r="I55" s="108"/>
    </row>
    <row r="56" spans="1:9" x14ac:dyDescent="0.45">
      <c r="A56" s="102"/>
      <c r="B56" s="103"/>
      <c r="C56" s="104"/>
      <c r="D56" s="99" t="e">
        <f>B72</f>
        <v>#DIV/0!</v>
      </c>
      <c r="E56" s="100" t="e">
        <f>C72</f>
        <v>#DIV/0!</v>
      </c>
      <c r="F56" s="101" t="e">
        <f t="shared" si="0"/>
        <v>#DIV/0!</v>
      </c>
      <c r="G56" s="108"/>
      <c r="H56" s="108"/>
      <c r="I56" s="108"/>
    </row>
    <row r="57" spans="1:9" x14ac:dyDescent="0.45">
      <c r="A57" s="102"/>
      <c r="B57" s="103"/>
      <c r="C57" s="104"/>
      <c r="D57" s="99" t="e">
        <f>B72</f>
        <v>#DIV/0!</v>
      </c>
      <c r="E57" s="100" t="e">
        <f>C72</f>
        <v>#DIV/0!</v>
      </c>
      <c r="F57" s="101" t="e">
        <f t="shared" si="0"/>
        <v>#DIV/0!</v>
      </c>
      <c r="G57" s="108"/>
      <c r="H57" s="108"/>
      <c r="I57" s="108"/>
    </row>
    <row r="58" spans="1:9" x14ac:dyDescent="0.45">
      <c r="A58" s="102"/>
      <c r="B58" s="103"/>
      <c r="C58" s="104"/>
      <c r="D58" s="99" t="e">
        <f>B72</f>
        <v>#DIV/0!</v>
      </c>
      <c r="E58" s="100" t="e">
        <f>C72</f>
        <v>#DIV/0!</v>
      </c>
      <c r="F58" s="101" t="e">
        <f t="shared" si="0"/>
        <v>#DIV/0!</v>
      </c>
      <c r="G58" s="108"/>
      <c r="H58" s="108"/>
      <c r="I58" s="108"/>
    </row>
    <row r="59" spans="1:9" x14ac:dyDescent="0.45">
      <c r="A59" s="102"/>
      <c r="B59" s="103"/>
      <c r="C59" s="104"/>
      <c r="D59" s="99" t="e">
        <f>B72</f>
        <v>#DIV/0!</v>
      </c>
      <c r="E59" s="100" t="e">
        <f>C72</f>
        <v>#DIV/0!</v>
      </c>
      <c r="F59" s="101" t="e">
        <f t="shared" si="0"/>
        <v>#DIV/0!</v>
      </c>
      <c r="G59" s="108"/>
      <c r="H59" s="108"/>
      <c r="I59" s="108"/>
    </row>
    <row r="60" spans="1:9" x14ac:dyDescent="0.45">
      <c r="A60" s="102"/>
      <c r="B60" s="103"/>
      <c r="C60" s="104"/>
      <c r="D60" s="99" t="e">
        <f>B72</f>
        <v>#DIV/0!</v>
      </c>
      <c r="E60" s="100" t="e">
        <f>C72</f>
        <v>#DIV/0!</v>
      </c>
      <c r="F60" s="101" t="e">
        <f t="shared" si="0"/>
        <v>#DIV/0!</v>
      </c>
      <c r="G60" s="108"/>
      <c r="H60" s="108"/>
      <c r="I60" s="108"/>
    </row>
    <row r="61" spans="1:9" x14ac:dyDescent="0.45">
      <c r="A61" s="102"/>
      <c r="B61" s="103"/>
      <c r="C61" s="104"/>
      <c r="D61" s="99" t="e">
        <f>B72</f>
        <v>#DIV/0!</v>
      </c>
      <c r="E61" s="100" t="e">
        <f>C72</f>
        <v>#DIV/0!</v>
      </c>
      <c r="F61" s="101" t="e">
        <f t="shared" si="0"/>
        <v>#DIV/0!</v>
      </c>
      <c r="G61" s="108"/>
      <c r="H61" s="108"/>
      <c r="I61" s="108"/>
    </row>
    <row r="62" spans="1:9" x14ac:dyDescent="0.45">
      <c r="A62" s="102"/>
      <c r="B62" s="103"/>
      <c r="C62" s="104"/>
      <c r="D62" s="99" t="e">
        <f>B72</f>
        <v>#DIV/0!</v>
      </c>
      <c r="E62" s="100" t="e">
        <f>C72</f>
        <v>#DIV/0!</v>
      </c>
      <c r="F62" s="101" t="e">
        <f t="shared" si="0"/>
        <v>#DIV/0!</v>
      </c>
      <c r="G62" s="108"/>
      <c r="H62" s="108"/>
      <c r="I62" s="108"/>
    </row>
    <row r="63" spans="1:9" x14ac:dyDescent="0.45">
      <c r="A63" s="102"/>
      <c r="B63" s="103"/>
      <c r="C63" s="104"/>
      <c r="D63" s="99" t="e">
        <f>B72</f>
        <v>#DIV/0!</v>
      </c>
      <c r="E63" s="100" t="e">
        <f>C72</f>
        <v>#DIV/0!</v>
      </c>
      <c r="F63" s="101" t="e">
        <f t="shared" si="0"/>
        <v>#DIV/0!</v>
      </c>
      <c r="G63" s="108"/>
      <c r="H63" s="108"/>
      <c r="I63" s="108"/>
    </row>
    <row r="64" spans="1:9" x14ac:dyDescent="0.45">
      <c r="A64" s="102"/>
      <c r="B64" s="103"/>
      <c r="C64" s="104"/>
      <c r="D64" s="99" t="e">
        <f>B72</f>
        <v>#DIV/0!</v>
      </c>
      <c r="E64" s="100" t="e">
        <f>C72</f>
        <v>#DIV/0!</v>
      </c>
      <c r="F64" s="101" t="e">
        <f t="shared" si="0"/>
        <v>#DIV/0!</v>
      </c>
      <c r="G64" s="108"/>
      <c r="H64" s="108"/>
      <c r="I64" s="108"/>
    </row>
    <row r="65" spans="1:9" x14ac:dyDescent="0.45">
      <c r="A65" s="102"/>
      <c r="B65" s="103"/>
      <c r="C65" s="104"/>
      <c r="D65" s="99" t="e">
        <f>B72</f>
        <v>#DIV/0!</v>
      </c>
      <c r="E65" s="100" t="e">
        <f>C72</f>
        <v>#DIV/0!</v>
      </c>
      <c r="F65" s="101" t="e">
        <f t="shared" si="0"/>
        <v>#DIV/0!</v>
      </c>
      <c r="G65" s="108"/>
      <c r="H65" s="108"/>
      <c r="I65" s="108"/>
    </row>
    <row r="66" spans="1:9" x14ac:dyDescent="0.45">
      <c r="A66" s="102"/>
      <c r="B66" s="103"/>
      <c r="C66" s="104"/>
      <c r="D66" s="99" t="e">
        <f>B72</f>
        <v>#DIV/0!</v>
      </c>
      <c r="E66" s="100" t="e">
        <f>C72</f>
        <v>#DIV/0!</v>
      </c>
      <c r="F66" s="101" t="e">
        <f t="shared" si="0"/>
        <v>#DIV/0!</v>
      </c>
      <c r="G66" s="108"/>
      <c r="H66" s="108"/>
      <c r="I66" s="108"/>
    </row>
    <row r="67" spans="1:9" x14ac:dyDescent="0.45">
      <c r="A67" s="102"/>
      <c r="B67" s="103"/>
      <c r="C67" s="104"/>
      <c r="D67" s="99" t="e">
        <f>B72</f>
        <v>#DIV/0!</v>
      </c>
      <c r="E67" s="100" t="e">
        <f>C72</f>
        <v>#DIV/0!</v>
      </c>
      <c r="F67" s="101" t="e">
        <f t="shared" si="0"/>
        <v>#DIV/0!</v>
      </c>
      <c r="G67" s="108"/>
      <c r="H67" s="108"/>
      <c r="I67" s="108"/>
    </row>
    <row r="68" spans="1:9" x14ac:dyDescent="0.45">
      <c r="A68" s="102"/>
      <c r="B68" s="103"/>
      <c r="C68" s="104"/>
      <c r="D68" s="99" t="e">
        <f>B72</f>
        <v>#DIV/0!</v>
      </c>
      <c r="E68" s="100" t="e">
        <f>C72</f>
        <v>#DIV/0!</v>
      </c>
      <c r="F68" s="101" t="e">
        <f t="shared" si="0"/>
        <v>#DIV/0!</v>
      </c>
      <c r="G68" s="108"/>
      <c r="H68" s="108"/>
      <c r="I68" s="108"/>
    </row>
    <row r="69" spans="1:9" x14ac:dyDescent="0.45">
      <c r="A69" s="105"/>
      <c r="B69" s="106"/>
      <c r="C69" s="107"/>
      <c r="D69" s="99"/>
      <c r="E69" s="100"/>
      <c r="F69" s="108"/>
      <c r="G69" s="108"/>
      <c r="H69" s="108"/>
      <c r="I69" s="108"/>
    </row>
    <row r="70" spans="1:9" x14ac:dyDescent="0.45">
      <c r="A70" s="105"/>
      <c r="B70" s="106"/>
      <c r="C70" s="107"/>
      <c r="D70" s="99"/>
      <c r="E70" s="100"/>
      <c r="F70" s="108"/>
      <c r="G70" s="108"/>
      <c r="H70" s="108"/>
      <c r="I70" s="108"/>
    </row>
    <row r="71" spans="1:9" x14ac:dyDescent="0.45">
      <c r="A71" s="105"/>
      <c r="B71" s="106"/>
      <c r="C71" s="107"/>
      <c r="D71" s="99"/>
      <c r="E71" s="100"/>
      <c r="F71" s="108"/>
      <c r="G71" s="108"/>
      <c r="H71" s="108"/>
      <c r="I71" s="108"/>
    </row>
    <row r="72" spans="1:9" x14ac:dyDescent="0.45">
      <c r="A72" s="109" t="s">
        <v>26</v>
      </c>
      <c r="B72" s="110" t="e">
        <f>AVERAGE(B19:B68)</f>
        <v>#DIV/0!</v>
      </c>
      <c r="C72" s="110" t="e">
        <f>AVERAGE(C19:C68)</f>
        <v>#DIV/0!</v>
      </c>
      <c r="D72" s="99"/>
      <c r="E72" s="100"/>
    </row>
    <row r="73" spans="1:9" x14ac:dyDescent="0.45">
      <c r="A73" s="109" t="s">
        <v>27</v>
      </c>
      <c r="B73" s="110" t="e">
        <f>B72-1.1*(MAX(MAX(B19:B68)-B72,B72-MIN(B19:B68)))</f>
        <v>#DIV/0!</v>
      </c>
      <c r="C73" s="110" t="e">
        <f>C72-1.18*(MAX(MAX(C19:C68)-C72,C72-MIN(C19:C68)))</f>
        <v>#DIV/0!</v>
      </c>
      <c r="D73" s="99"/>
    </row>
    <row r="74" spans="1:9" x14ac:dyDescent="0.45">
      <c r="A74" s="109" t="s">
        <v>28</v>
      </c>
      <c r="B74" s="110" t="e">
        <f>B72+1.1*(MAX(MAX(B19:B68)-B72,B72-MIN(B19:B68)))</f>
        <v>#DIV/0!</v>
      </c>
      <c r="C74" s="110" t="e">
        <f>C72+1.18*(MAX(MAX(C19:C68)-C72,C72-MIN(C19:C68)))</f>
        <v>#DIV/0!</v>
      </c>
      <c r="D74" s="99"/>
    </row>
    <row r="75" spans="1:9" x14ac:dyDescent="0.45">
      <c r="D75" s="99"/>
    </row>
    <row r="76" spans="1:9" x14ac:dyDescent="0.45">
      <c r="B76" s="89"/>
      <c r="C76" s="89"/>
      <c r="D76" s="89"/>
    </row>
    <row r="77" spans="1:9" x14ac:dyDescent="0.45">
      <c r="B77" s="89"/>
      <c r="C77" s="89"/>
      <c r="D77" s="89"/>
    </row>
    <row r="78" spans="1:9" x14ac:dyDescent="0.45">
      <c r="D78" s="99"/>
    </row>
    <row r="79" spans="1:9" x14ac:dyDescent="0.45">
      <c r="D79" s="99"/>
    </row>
    <row r="80" spans="1:9" x14ac:dyDescent="0.45">
      <c r="D80" s="99"/>
    </row>
    <row r="81" spans="4:4" x14ac:dyDescent="0.45">
      <c r="D81" s="99"/>
    </row>
    <row r="82" spans="4:4" x14ac:dyDescent="0.45">
      <c r="D82" s="99"/>
    </row>
    <row r="83" spans="4:4" x14ac:dyDescent="0.45">
      <c r="D83" s="9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9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DDB4-346A-4960-A462-4FC0B6E86C7B}">
  <sheetPr codeName="Sheet15"/>
  <dimension ref="A1:J83"/>
  <sheetViews>
    <sheetView zoomScale="85" zoomScaleNormal="85" workbookViewId="0"/>
  </sheetViews>
  <sheetFormatPr defaultColWidth="8.75" defaultRowHeight="16.5" x14ac:dyDescent="0.45"/>
  <cols>
    <col min="1" max="1" width="38.25" customWidth="1"/>
    <col min="4" max="9" width="15.58203125" customWidth="1"/>
    <col min="10" max="10" width="158.33203125" customWidth="1"/>
    <col min="12" max="12" width="147.33203125" customWidth="1"/>
  </cols>
  <sheetData>
    <row r="1" spans="1:10" x14ac:dyDescent="0.45">
      <c r="A1" s="88" t="s">
        <v>0</v>
      </c>
      <c r="B1" s="89"/>
      <c r="C1" s="89"/>
      <c r="D1" s="89"/>
      <c r="E1" s="90"/>
      <c r="F1" s="91"/>
      <c r="G1" s="91"/>
      <c r="H1" s="91"/>
      <c r="I1" s="91"/>
    </row>
    <row r="2" spans="1:10" x14ac:dyDescent="0.45">
      <c r="A2" s="92"/>
      <c r="B2" s="89"/>
      <c r="C2" s="89"/>
      <c r="D2" s="89"/>
      <c r="E2" s="90"/>
      <c r="F2" s="91"/>
      <c r="G2" s="91"/>
      <c r="H2" s="91"/>
      <c r="I2" s="91"/>
    </row>
    <row r="3" spans="1:10" ht="21" x14ac:dyDescent="0.55000000000000004">
      <c r="A3" s="92" t="s">
        <v>1</v>
      </c>
      <c r="B3" s="89"/>
      <c r="C3" s="89"/>
      <c r="D3" s="89"/>
      <c r="E3" s="90"/>
      <c r="F3" s="91"/>
      <c r="G3" s="91"/>
      <c r="H3" s="91"/>
      <c r="I3" s="91"/>
      <c r="J3" s="93" t="s">
        <v>2</v>
      </c>
    </row>
    <row r="4" spans="1:10" ht="21" x14ac:dyDescent="0.55000000000000004">
      <c r="A4" s="92" t="s">
        <v>3</v>
      </c>
      <c r="B4" s="89"/>
      <c r="C4" s="89"/>
      <c r="D4" s="89"/>
      <c r="E4" s="89"/>
      <c r="F4" s="91"/>
      <c r="G4" s="91"/>
      <c r="H4" s="91"/>
      <c r="I4" s="91"/>
      <c r="J4" s="93" t="s">
        <v>4</v>
      </c>
    </row>
    <row r="5" spans="1:10" ht="21" x14ac:dyDescent="0.55000000000000004">
      <c r="A5" s="92"/>
      <c r="B5" s="89"/>
      <c r="C5" s="89"/>
      <c r="D5" s="89"/>
      <c r="E5" s="89"/>
      <c r="F5" s="91"/>
      <c r="G5" s="91"/>
      <c r="H5" s="91"/>
      <c r="I5" s="91"/>
      <c r="J5" s="93" t="s">
        <v>5</v>
      </c>
    </row>
    <row r="6" spans="1:10" ht="21" x14ac:dyDescent="0.55000000000000004">
      <c r="A6" s="92" t="s">
        <v>6</v>
      </c>
      <c r="B6" s="89"/>
      <c r="C6" s="89"/>
      <c r="D6" s="89"/>
      <c r="E6" s="89"/>
      <c r="F6" s="91"/>
      <c r="G6" s="91"/>
      <c r="H6" s="91"/>
      <c r="I6" s="91"/>
      <c r="J6" s="93" t="s">
        <v>7</v>
      </c>
    </row>
    <row r="7" spans="1:10" ht="21" x14ac:dyDescent="0.55000000000000004">
      <c r="A7" s="92"/>
      <c r="B7" s="89"/>
      <c r="C7" s="89"/>
      <c r="D7" s="89"/>
      <c r="E7" s="89"/>
      <c r="F7" s="91"/>
      <c r="G7" s="91"/>
      <c r="H7" s="91"/>
      <c r="I7" s="91"/>
      <c r="J7" s="93"/>
    </row>
    <row r="8" spans="1:10" ht="21" x14ac:dyDescent="0.55000000000000004">
      <c r="A8" s="88" t="s">
        <v>8</v>
      </c>
      <c r="B8" s="89"/>
      <c r="C8" s="89"/>
      <c r="D8" s="89"/>
      <c r="E8" s="89"/>
      <c r="F8" s="91"/>
      <c r="G8" s="91"/>
      <c r="H8" s="91"/>
      <c r="I8" s="91"/>
      <c r="J8" s="93" t="s">
        <v>9</v>
      </c>
    </row>
    <row r="9" spans="1:10" ht="21" x14ac:dyDescent="0.55000000000000004">
      <c r="A9" s="115" t="s">
        <v>10</v>
      </c>
      <c r="B9" s="116" t="s">
        <v>11</v>
      </c>
      <c r="C9" s="89"/>
      <c r="D9" s="89"/>
      <c r="E9" s="89"/>
      <c r="F9" s="91"/>
      <c r="G9" s="91"/>
      <c r="H9" s="91"/>
      <c r="I9" s="91"/>
      <c r="J9" s="94"/>
    </row>
    <row r="10" spans="1:10" ht="21" x14ac:dyDescent="0.55000000000000004">
      <c r="A10" s="115" t="s">
        <v>13</v>
      </c>
      <c r="B10" s="116" t="s">
        <v>14</v>
      </c>
      <c r="C10" s="89"/>
      <c r="D10" s="89"/>
      <c r="E10" s="89"/>
      <c r="F10" s="91"/>
      <c r="G10" s="91"/>
      <c r="H10" s="91"/>
      <c r="I10" s="91"/>
      <c r="J10" s="94"/>
    </row>
    <row r="11" spans="1:10" x14ac:dyDescent="0.45">
      <c r="A11" s="89"/>
      <c r="B11" s="89"/>
      <c r="C11" s="89"/>
      <c r="D11" s="89"/>
      <c r="E11" s="89"/>
      <c r="F11" s="91"/>
      <c r="G11" s="91"/>
      <c r="H11" s="91"/>
      <c r="I11" s="91"/>
    </row>
    <row r="12" spans="1:10" x14ac:dyDescent="0.45">
      <c r="A12" s="88" t="s">
        <v>15</v>
      </c>
      <c r="B12" s="95"/>
      <c r="C12" s="89"/>
      <c r="D12" s="89"/>
      <c r="E12" s="89"/>
      <c r="F12" s="91"/>
      <c r="G12" s="91"/>
      <c r="H12" s="91"/>
      <c r="I12" s="91"/>
    </row>
    <row r="13" spans="1:10" x14ac:dyDescent="0.45">
      <c r="A13" s="115" t="s">
        <v>16</v>
      </c>
      <c r="B13" s="116" t="s">
        <v>17</v>
      </c>
      <c r="C13" s="89"/>
      <c r="D13" s="115" t="s">
        <v>18</v>
      </c>
      <c r="E13" s="116" t="s">
        <v>17</v>
      </c>
      <c r="F13" s="91"/>
      <c r="G13" s="91"/>
      <c r="H13" s="91"/>
      <c r="I13" s="91"/>
    </row>
    <row r="14" spans="1:10" x14ac:dyDescent="0.45">
      <c r="A14" s="115" t="s">
        <v>19</v>
      </c>
      <c r="B14" s="116" t="s">
        <v>17</v>
      </c>
      <c r="C14" s="89"/>
      <c r="D14" s="115" t="s">
        <v>20</v>
      </c>
      <c r="E14" s="116" t="s">
        <v>17</v>
      </c>
      <c r="F14" s="91"/>
      <c r="G14" s="91"/>
      <c r="H14" s="91"/>
      <c r="I14" s="91"/>
    </row>
    <row r="15" spans="1:10" x14ac:dyDescent="0.45">
      <c r="A15" s="89"/>
      <c r="B15" s="89"/>
      <c r="C15" s="89"/>
      <c r="D15" s="89"/>
      <c r="E15" s="89"/>
      <c r="F15" s="91"/>
      <c r="G15" s="91"/>
      <c r="H15" s="91"/>
      <c r="I15" s="91"/>
    </row>
    <row r="16" spans="1:10" x14ac:dyDescent="0.45">
      <c r="A16" s="89"/>
      <c r="B16" s="89"/>
      <c r="C16" s="89"/>
      <c r="D16" s="89"/>
      <c r="E16" s="89"/>
      <c r="F16" s="91"/>
      <c r="G16" s="91"/>
      <c r="H16" s="91"/>
      <c r="I16" s="91"/>
    </row>
    <row r="17" spans="1:9" x14ac:dyDescent="0.45">
      <c r="A17" s="89"/>
      <c r="B17" s="89"/>
      <c r="C17" s="89"/>
      <c r="D17" s="89"/>
      <c r="E17" s="89"/>
      <c r="F17" s="91"/>
      <c r="G17" s="91"/>
      <c r="H17" s="91"/>
      <c r="I17" s="91"/>
    </row>
    <row r="18" spans="1:9" x14ac:dyDescent="0.45">
      <c r="A18" s="89"/>
      <c r="B18" s="96" t="s">
        <v>21</v>
      </c>
      <c r="C18" s="97" t="s">
        <v>22</v>
      </c>
      <c r="D18" s="98" t="s">
        <v>23</v>
      </c>
      <c r="E18" s="98" t="s">
        <v>24</v>
      </c>
      <c r="F18" s="98" t="s">
        <v>25</v>
      </c>
      <c r="G18" s="98" t="s">
        <v>55</v>
      </c>
      <c r="H18" s="98" t="s">
        <v>53</v>
      </c>
      <c r="I18" s="98" t="s">
        <v>54</v>
      </c>
    </row>
    <row r="19" spans="1:9" x14ac:dyDescent="0.45">
      <c r="A19" s="19"/>
      <c r="B19" s="20"/>
      <c r="C19" s="20"/>
      <c r="D19" s="99" t="e">
        <f>B72</f>
        <v>#DIV/0!</v>
      </c>
      <c r="E19" s="100" t="e">
        <f>C72</f>
        <v>#DIV/0!</v>
      </c>
      <c r="F19" s="101" t="e">
        <f>IF(AND(B19&lt;D19,C19&lt;E19),"Blue",(IF(AND(B19&lt;D19,C19&gt;E19),"Red",(IF(AND(B19&gt;D19,C19&gt;E19),"Green",(IF(AND(B19&gt;D19,C19&lt;E19),"Yellow")))))))</f>
        <v>#DIV/0!</v>
      </c>
      <c r="G19" s="108"/>
      <c r="H19" s="108"/>
      <c r="I19" s="108"/>
    </row>
    <row r="20" spans="1:9" x14ac:dyDescent="0.45">
      <c r="A20" s="19"/>
      <c r="B20" s="20"/>
      <c r="C20" s="20"/>
      <c r="D20" s="99" t="e">
        <f>B72</f>
        <v>#DIV/0!</v>
      </c>
      <c r="E20" s="100" t="e">
        <f>C72</f>
        <v>#DIV/0!</v>
      </c>
      <c r="F20" s="101" t="e">
        <f t="shared" ref="F20:F68" si="0">IF(AND(B20&lt;D20,C20&lt;E20),"Blue",(IF(AND(B20&lt;D20,C20&gt;E20),"Red",(IF(AND(B20&gt;D20,C20&gt;E20),"Green",(IF(AND(B20&gt;D20,C20&lt;E20),"Yellow")))))))</f>
        <v>#DIV/0!</v>
      </c>
      <c r="G20" s="108"/>
      <c r="H20" s="108"/>
      <c r="I20" s="108"/>
    </row>
    <row r="21" spans="1:9" x14ac:dyDescent="0.45">
      <c r="A21" s="19"/>
      <c r="B21" s="20"/>
      <c r="C21" s="20"/>
      <c r="D21" s="99" t="e">
        <f>B72</f>
        <v>#DIV/0!</v>
      </c>
      <c r="E21" s="100" t="e">
        <f>C72</f>
        <v>#DIV/0!</v>
      </c>
      <c r="F21" s="101" t="e">
        <f t="shared" si="0"/>
        <v>#DIV/0!</v>
      </c>
      <c r="G21" s="108"/>
      <c r="H21" s="108"/>
      <c r="I21" s="108"/>
    </row>
    <row r="22" spans="1:9" x14ac:dyDescent="0.45">
      <c r="A22" s="19"/>
      <c r="B22" s="20"/>
      <c r="C22" s="20"/>
      <c r="D22" s="99" t="e">
        <f>B72</f>
        <v>#DIV/0!</v>
      </c>
      <c r="E22" s="100" t="e">
        <f>C72</f>
        <v>#DIV/0!</v>
      </c>
      <c r="F22" s="101" t="e">
        <f t="shared" si="0"/>
        <v>#DIV/0!</v>
      </c>
      <c r="G22" s="108"/>
      <c r="H22" s="108"/>
      <c r="I22" s="108"/>
    </row>
    <row r="23" spans="1:9" x14ac:dyDescent="0.45">
      <c r="A23" s="19"/>
      <c r="B23" s="20"/>
      <c r="C23" s="20"/>
      <c r="D23" s="99" t="e">
        <f>B72</f>
        <v>#DIV/0!</v>
      </c>
      <c r="E23" s="100" t="e">
        <f>C72</f>
        <v>#DIV/0!</v>
      </c>
      <c r="F23" s="101" t="e">
        <f>IF(AND(B23&lt;D23,C23&lt;E23),"Blue",(IF(AND(B23&lt;D23,C23&gt;E23),"Red",(IF(AND(B23&gt;D23,C23&gt;E23),"Green",(IF(AND(B23&gt;D23,C23&lt;E23),"Yellow")))))))</f>
        <v>#DIV/0!</v>
      </c>
      <c r="G23" s="108"/>
      <c r="H23" s="108"/>
      <c r="I23" s="108"/>
    </row>
    <row r="24" spans="1:9" x14ac:dyDescent="0.45">
      <c r="A24" s="19"/>
      <c r="B24" s="20"/>
      <c r="C24" s="20"/>
      <c r="D24" s="99" t="e">
        <f>B72</f>
        <v>#DIV/0!</v>
      </c>
      <c r="E24" s="100" t="e">
        <f>C72</f>
        <v>#DIV/0!</v>
      </c>
      <c r="F24" s="101" t="e">
        <f t="shared" si="0"/>
        <v>#DIV/0!</v>
      </c>
      <c r="G24" s="108"/>
      <c r="H24" s="108"/>
      <c r="I24" s="108"/>
    </row>
    <row r="25" spans="1:9" x14ac:dyDescent="0.45">
      <c r="A25" s="19"/>
      <c r="B25" s="20"/>
      <c r="C25" s="20"/>
      <c r="D25" s="99" t="e">
        <f>B72</f>
        <v>#DIV/0!</v>
      </c>
      <c r="E25" s="100" t="e">
        <f>C72</f>
        <v>#DIV/0!</v>
      </c>
      <c r="F25" s="101" t="e">
        <f t="shared" si="0"/>
        <v>#DIV/0!</v>
      </c>
      <c r="G25" s="108"/>
      <c r="H25" s="108"/>
      <c r="I25" s="108"/>
    </row>
    <row r="26" spans="1:9" x14ac:dyDescent="0.45">
      <c r="A26" s="19"/>
      <c r="B26" s="20"/>
      <c r="C26" s="20"/>
      <c r="D26" s="99" t="e">
        <f>B72</f>
        <v>#DIV/0!</v>
      </c>
      <c r="E26" s="100" t="e">
        <f>C72</f>
        <v>#DIV/0!</v>
      </c>
      <c r="F26" s="101" t="e">
        <f t="shared" si="0"/>
        <v>#DIV/0!</v>
      </c>
      <c r="G26" s="108"/>
      <c r="H26" s="108"/>
      <c r="I26" s="108"/>
    </row>
    <row r="27" spans="1:9" x14ac:dyDescent="0.45">
      <c r="A27" s="19"/>
      <c r="B27" s="20"/>
      <c r="C27" s="20"/>
      <c r="D27" s="99" t="e">
        <f>B72</f>
        <v>#DIV/0!</v>
      </c>
      <c r="E27" s="100" t="e">
        <f>C72</f>
        <v>#DIV/0!</v>
      </c>
      <c r="F27" s="101" t="e">
        <f t="shared" si="0"/>
        <v>#DIV/0!</v>
      </c>
      <c r="G27" s="108"/>
      <c r="H27" s="108"/>
      <c r="I27" s="108"/>
    </row>
    <row r="28" spans="1:9" x14ac:dyDescent="0.45">
      <c r="A28" s="19"/>
      <c r="B28" s="20"/>
      <c r="C28" s="20"/>
      <c r="D28" s="99" t="e">
        <f>B72</f>
        <v>#DIV/0!</v>
      </c>
      <c r="E28" s="100" t="e">
        <f>C72</f>
        <v>#DIV/0!</v>
      </c>
      <c r="F28" s="101" t="e">
        <f t="shared" si="0"/>
        <v>#DIV/0!</v>
      </c>
      <c r="G28" s="108"/>
      <c r="H28" s="108"/>
      <c r="I28" s="108"/>
    </row>
    <row r="29" spans="1:9" x14ac:dyDescent="0.45">
      <c r="A29" s="19"/>
      <c r="B29" s="20"/>
      <c r="C29" s="20"/>
      <c r="D29" s="99" t="e">
        <f>B72</f>
        <v>#DIV/0!</v>
      </c>
      <c r="E29" s="100" t="e">
        <f>C72</f>
        <v>#DIV/0!</v>
      </c>
      <c r="F29" s="101" t="e">
        <f t="shared" si="0"/>
        <v>#DIV/0!</v>
      </c>
      <c r="G29" s="108"/>
      <c r="H29" s="108"/>
      <c r="I29" s="108"/>
    </row>
    <row r="30" spans="1:9" x14ac:dyDescent="0.45">
      <c r="A30" s="19"/>
      <c r="B30" s="20"/>
      <c r="C30" s="20"/>
      <c r="D30" s="99" t="e">
        <f>B72</f>
        <v>#DIV/0!</v>
      </c>
      <c r="E30" s="100" t="e">
        <f>C72</f>
        <v>#DIV/0!</v>
      </c>
      <c r="F30" s="101" t="e">
        <f t="shared" si="0"/>
        <v>#DIV/0!</v>
      </c>
      <c r="G30" s="108"/>
      <c r="H30" s="108"/>
      <c r="I30" s="108"/>
    </row>
    <row r="31" spans="1:9" x14ac:dyDescent="0.45">
      <c r="A31" s="19"/>
      <c r="B31" s="20"/>
      <c r="C31" s="20"/>
      <c r="D31" s="99" t="e">
        <f>B72</f>
        <v>#DIV/0!</v>
      </c>
      <c r="E31" s="100" t="e">
        <f>C72</f>
        <v>#DIV/0!</v>
      </c>
      <c r="F31" s="101" t="e">
        <f t="shared" si="0"/>
        <v>#DIV/0!</v>
      </c>
      <c r="G31" s="108"/>
      <c r="H31" s="108"/>
      <c r="I31" s="108"/>
    </row>
    <row r="32" spans="1:9" x14ac:dyDescent="0.45">
      <c r="A32" s="19"/>
      <c r="B32" s="20"/>
      <c r="C32" s="20"/>
      <c r="D32" s="99" t="e">
        <f>B72</f>
        <v>#DIV/0!</v>
      </c>
      <c r="E32" s="100" t="e">
        <f>C72</f>
        <v>#DIV/0!</v>
      </c>
      <c r="F32" s="101" t="e">
        <f t="shared" si="0"/>
        <v>#DIV/0!</v>
      </c>
      <c r="G32" s="108"/>
      <c r="H32" s="108"/>
      <c r="I32" s="108"/>
    </row>
    <row r="33" spans="1:9" x14ac:dyDescent="0.45">
      <c r="A33" s="19"/>
      <c r="B33" s="20"/>
      <c r="C33" s="20"/>
      <c r="D33" s="99" t="e">
        <f>B72</f>
        <v>#DIV/0!</v>
      </c>
      <c r="E33" s="100" t="e">
        <f>C72</f>
        <v>#DIV/0!</v>
      </c>
      <c r="F33" s="101" t="e">
        <f t="shared" si="0"/>
        <v>#DIV/0!</v>
      </c>
      <c r="G33" s="108"/>
      <c r="H33" s="108"/>
      <c r="I33" s="108"/>
    </row>
    <row r="34" spans="1:9" x14ac:dyDescent="0.45">
      <c r="A34" s="19"/>
      <c r="B34" s="20"/>
      <c r="C34" s="20"/>
      <c r="D34" s="99" t="e">
        <f>B72</f>
        <v>#DIV/0!</v>
      </c>
      <c r="E34" s="100" t="e">
        <f>C72</f>
        <v>#DIV/0!</v>
      </c>
      <c r="F34" s="101" t="e">
        <f t="shared" si="0"/>
        <v>#DIV/0!</v>
      </c>
      <c r="G34" s="108"/>
      <c r="H34" s="108"/>
      <c r="I34" s="108"/>
    </row>
    <row r="35" spans="1:9" x14ac:dyDescent="0.45">
      <c r="A35" s="19"/>
      <c r="B35" s="20"/>
      <c r="C35" s="20"/>
      <c r="D35" s="99" t="e">
        <f>B72</f>
        <v>#DIV/0!</v>
      </c>
      <c r="E35" s="100" t="e">
        <f>C72</f>
        <v>#DIV/0!</v>
      </c>
      <c r="F35" s="101" t="e">
        <f t="shared" si="0"/>
        <v>#DIV/0!</v>
      </c>
      <c r="G35" s="108"/>
      <c r="H35" s="108"/>
      <c r="I35" s="108"/>
    </row>
    <row r="36" spans="1:9" x14ac:dyDescent="0.45">
      <c r="A36" s="19"/>
      <c r="B36" s="20"/>
      <c r="C36" s="20"/>
      <c r="D36" s="99" t="e">
        <f>B72</f>
        <v>#DIV/0!</v>
      </c>
      <c r="E36" s="100" t="e">
        <f>C72</f>
        <v>#DIV/0!</v>
      </c>
      <c r="F36" s="101" t="e">
        <f t="shared" si="0"/>
        <v>#DIV/0!</v>
      </c>
      <c r="G36" s="108"/>
      <c r="H36" s="108"/>
      <c r="I36" s="108"/>
    </row>
    <row r="37" spans="1:9" x14ac:dyDescent="0.45">
      <c r="A37" s="19"/>
      <c r="B37" s="20"/>
      <c r="C37" s="20"/>
      <c r="D37" s="99" t="e">
        <f>B72</f>
        <v>#DIV/0!</v>
      </c>
      <c r="E37" s="100" t="e">
        <f>C72</f>
        <v>#DIV/0!</v>
      </c>
      <c r="F37" s="101" t="e">
        <f t="shared" si="0"/>
        <v>#DIV/0!</v>
      </c>
      <c r="G37" s="108"/>
      <c r="H37" s="108"/>
      <c r="I37" s="108"/>
    </row>
    <row r="38" spans="1:9" x14ac:dyDescent="0.45">
      <c r="A38" s="19"/>
      <c r="B38" s="20"/>
      <c r="C38" s="20"/>
      <c r="D38" s="99" t="e">
        <f>B72</f>
        <v>#DIV/0!</v>
      </c>
      <c r="E38" s="100" t="e">
        <f>C72</f>
        <v>#DIV/0!</v>
      </c>
      <c r="F38" s="101" t="e">
        <f t="shared" si="0"/>
        <v>#DIV/0!</v>
      </c>
      <c r="G38" s="108"/>
      <c r="H38" s="108"/>
      <c r="I38" s="108"/>
    </row>
    <row r="39" spans="1:9" x14ac:dyDescent="0.45">
      <c r="A39" s="19"/>
      <c r="B39" s="20"/>
      <c r="C39" s="20"/>
      <c r="D39" s="99" t="e">
        <f>B72</f>
        <v>#DIV/0!</v>
      </c>
      <c r="E39" s="100" t="e">
        <f>C72</f>
        <v>#DIV/0!</v>
      </c>
      <c r="F39" s="101" t="e">
        <f t="shared" si="0"/>
        <v>#DIV/0!</v>
      </c>
      <c r="G39" s="108"/>
      <c r="H39" s="108"/>
      <c r="I39" s="108"/>
    </row>
    <row r="40" spans="1:9" x14ac:dyDescent="0.45">
      <c r="A40" s="19"/>
      <c r="B40" s="20"/>
      <c r="C40" s="20"/>
      <c r="D40" s="99" t="e">
        <f>B72</f>
        <v>#DIV/0!</v>
      </c>
      <c r="E40" s="100" t="e">
        <f>C72</f>
        <v>#DIV/0!</v>
      </c>
      <c r="F40" s="101" t="e">
        <f t="shared" si="0"/>
        <v>#DIV/0!</v>
      </c>
      <c r="G40" s="108"/>
      <c r="H40" s="108"/>
      <c r="I40" s="108"/>
    </row>
    <row r="41" spans="1:9" x14ac:dyDescent="0.45">
      <c r="A41" s="19"/>
      <c r="B41" s="20"/>
      <c r="C41" s="20"/>
      <c r="D41" s="99" t="e">
        <f>B72</f>
        <v>#DIV/0!</v>
      </c>
      <c r="E41" s="100" t="e">
        <f>C72</f>
        <v>#DIV/0!</v>
      </c>
      <c r="F41" s="101" t="e">
        <f t="shared" si="0"/>
        <v>#DIV/0!</v>
      </c>
      <c r="G41" s="108"/>
      <c r="H41" s="108"/>
      <c r="I41" s="108"/>
    </row>
    <row r="42" spans="1:9" x14ac:dyDescent="0.45">
      <c r="A42" s="19"/>
      <c r="B42" s="20"/>
      <c r="C42" s="20"/>
      <c r="D42" s="99" t="e">
        <f>B72</f>
        <v>#DIV/0!</v>
      </c>
      <c r="E42" s="100" t="e">
        <f>C72</f>
        <v>#DIV/0!</v>
      </c>
      <c r="F42" s="101" t="e">
        <f t="shared" si="0"/>
        <v>#DIV/0!</v>
      </c>
      <c r="G42" s="108"/>
      <c r="H42" s="108"/>
      <c r="I42" s="108"/>
    </row>
    <row r="43" spans="1:9" x14ac:dyDescent="0.45">
      <c r="A43" s="19"/>
      <c r="B43" s="20"/>
      <c r="C43" s="20"/>
      <c r="D43" s="99" t="e">
        <f>B72</f>
        <v>#DIV/0!</v>
      </c>
      <c r="E43" s="100" t="e">
        <f>C72</f>
        <v>#DIV/0!</v>
      </c>
      <c r="F43" s="101" t="e">
        <f t="shared" si="0"/>
        <v>#DIV/0!</v>
      </c>
      <c r="G43" s="108"/>
      <c r="H43" s="108"/>
      <c r="I43" s="108"/>
    </row>
    <row r="44" spans="1:9" x14ac:dyDescent="0.45">
      <c r="A44" s="19"/>
      <c r="B44" s="20"/>
      <c r="C44" s="20"/>
      <c r="D44" s="99" t="e">
        <f>B72</f>
        <v>#DIV/0!</v>
      </c>
      <c r="E44" s="100" t="e">
        <f>C72</f>
        <v>#DIV/0!</v>
      </c>
      <c r="F44" s="101" t="e">
        <f t="shared" si="0"/>
        <v>#DIV/0!</v>
      </c>
      <c r="G44" s="108"/>
      <c r="H44" s="108"/>
      <c r="I44" s="108"/>
    </row>
    <row r="45" spans="1:9" x14ac:dyDescent="0.45">
      <c r="A45" s="19"/>
      <c r="B45" s="20"/>
      <c r="C45" s="20"/>
      <c r="D45" s="99" t="e">
        <f>B72</f>
        <v>#DIV/0!</v>
      </c>
      <c r="E45" s="100" t="e">
        <f>C72</f>
        <v>#DIV/0!</v>
      </c>
      <c r="F45" s="101" t="e">
        <f t="shared" si="0"/>
        <v>#DIV/0!</v>
      </c>
      <c r="G45" s="108"/>
      <c r="H45" s="108"/>
      <c r="I45" s="108"/>
    </row>
    <row r="46" spans="1:9" x14ac:dyDescent="0.45">
      <c r="A46" s="19"/>
      <c r="B46" s="20"/>
      <c r="C46" s="20"/>
      <c r="D46" s="99" t="e">
        <f>B72</f>
        <v>#DIV/0!</v>
      </c>
      <c r="E46" s="100" t="e">
        <f>C72</f>
        <v>#DIV/0!</v>
      </c>
      <c r="F46" s="101" t="e">
        <f t="shared" si="0"/>
        <v>#DIV/0!</v>
      </c>
      <c r="G46" s="108"/>
      <c r="H46" s="108"/>
      <c r="I46" s="108"/>
    </row>
    <row r="47" spans="1:9" x14ac:dyDescent="0.45">
      <c r="A47" s="19"/>
      <c r="B47" s="20"/>
      <c r="C47" s="20"/>
      <c r="D47" s="99" t="e">
        <f>B72</f>
        <v>#DIV/0!</v>
      </c>
      <c r="E47" s="100" t="e">
        <f>C72</f>
        <v>#DIV/0!</v>
      </c>
      <c r="F47" s="101" t="e">
        <f t="shared" si="0"/>
        <v>#DIV/0!</v>
      </c>
      <c r="G47" s="108"/>
      <c r="H47" s="108"/>
      <c r="I47" s="108"/>
    </row>
    <row r="48" spans="1:9" x14ac:dyDescent="0.45">
      <c r="A48" s="19"/>
      <c r="B48" s="20"/>
      <c r="C48" s="20"/>
      <c r="D48" s="99" t="e">
        <f>B72</f>
        <v>#DIV/0!</v>
      </c>
      <c r="E48" s="100" t="e">
        <f>C72</f>
        <v>#DIV/0!</v>
      </c>
      <c r="F48" s="101" t="e">
        <f t="shared" si="0"/>
        <v>#DIV/0!</v>
      </c>
      <c r="G48" s="108"/>
      <c r="H48" s="108"/>
      <c r="I48" s="108"/>
    </row>
    <row r="49" spans="1:9" x14ac:dyDescent="0.45">
      <c r="A49" s="19"/>
      <c r="B49" s="20"/>
      <c r="C49" s="20"/>
      <c r="D49" s="99" t="e">
        <f>B72</f>
        <v>#DIV/0!</v>
      </c>
      <c r="E49" s="100" t="e">
        <f>C72</f>
        <v>#DIV/0!</v>
      </c>
      <c r="F49" s="101" t="e">
        <f t="shared" si="0"/>
        <v>#DIV/0!</v>
      </c>
      <c r="G49" s="108"/>
      <c r="H49" s="108"/>
      <c r="I49" s="108"/>
    </row>
    <row r="50" spans="1:9" x14ac:dyDescent="0.45">
      <c r="A50" s="19"/>
      <c r="B50" s="20"/>
      <c r="C50" s="20"/>
      <c r="D50" s="99" t="e">
        <f>B72</f>
        <v>#DIV/0!</v>
      </c>
      <c r="E50" s="100" t="e">
        <f>C72</f>
        <v>#DIV/0!</v>
      </c>
      <c r="F50" s="101" t="e">
        <f t="shared" si="0"/>
        <v>#DIV/0!</v>
      </c>
      <c r="G50" s="108"/>
      <c r="H50" s="108"/>
      <c r="I50" s="108"/>
    </row>
    <row r="51" spans="1:9" x14ac:dyDescent="0.45">
      <c r="A51" s="19"/>
      <c r="B51" s="20"/>
      <c r="C51" s="20"/>
      <c r="D51" s="99" t="e">
        <f>B72</f>
        <v>#DIV/0!</v>
      </c>
      <c r="E51" s="100" t="e">
        <f>C72</f>
        <v>#DIV/0!</v>
      </c>
      <c r="F51" s="101" t="e">
        <f t="shared" si="0"/>
        <v>#DIV/0!</v>
      </c>
      <c r="G51" s="108"/>
      <c r="H51" s="108"/>
      <c r="I51" s="108"/>
    </row>
    <row r="52" spans="1:9" x14ac:dyDescent="0.45">
      <c r="A52" s="19"/>
      <c r="B52" s="20"/>
      <c r="C52" s="20"/>
      <c r="D52" s="99" t="e">
        <f>B72</f>
        <v>#DIV/0!</v>
      </c>
      <c r="E52" s="100" t="e">
        <f>C72</f>
        <v>#DIV/0!</v>
      </c>
      <c r="F52" s="101" t="e">
        <f t="shared" si="0"/>
        <v>#DIV/0!</v>
      </c>
      <c r="G52" s="108"/>
      <c r="H52" s="108"/>
      <c r="I52" s="108"/>
    </row>
    <row r="53" spans="1:9" x14ac:dyDescent="0.45">
      <c r="A53" s="19"/>
      <c r="B53" s="20"/>
      <c r="C53" s="20"/>
      <c r="D53" s="99" t="e">
        <f>B72</f>
        <v>#DIV/0!</v>
      </c>
      <c r="E53" s="100" t="e">
        <f>C72</f>
        <v>#DIV/0!</v>
      </c>
      <c r="F53" s="101" t="e">
        <f t="shared" si="0"/>
        <v>#DIV/0!</v>
      </c>
      <c r="G53" s="108"/>
      <c r="H53" s="108"/>
      <c r="I53" s="108"/>
    </row>
    <row r="54" spans="1:9" x14ac:dyDescent="0.45">
      <c r="A54" s="102"/>
      <c r="B54" s="103"/>
      <c r="C54" s="104"/>
      <c r="D54" s="99" t="e">
        <f>B72</f>
        <v>#DIV/0!</v>
      </c>
      <c r="E54" s="100" t="e">
        <f>C72</f>
        <v>#DIV/0!</v>
      </c>
      <c r="F54" s="101" t="e">
        <f t="shared" si="0"/>
        <v>#DIV/0!</v>
      </c>
      <c r="G54" s="108"/>
      <c r="H54" s="108"/>
      <c r="I54" s="108"/>
    </row>
    <row r="55" spans="1:9" x14ac:dyDescent="0.45">
      <c r="A55" s="102"/>
      <c r="B55" s="103"/>
      <c r="C55" s="104"/>
      <c r="D55" s="99" t="e">
        <f>B72</f>
        <v>#DIV/0!</v>
      </c>
      <c r="E55" s="100" t="e">
        <f>C72</f>
        <v>#DIV/0!</v>
      </c>
      <c r="F55" s="101" t="e">
        <f t="shared" si="0"/>
        <v>#DIV/0!</v>
      </c>
      <c r="G55" s="108"/>
      <c r="H55" s="108"/>
      <c r="I55" s="108"/>
    </row>
    <row r="56" spans="1:9" x14ac:dyDescent="0.45">
      <c r="A56" s="102"/>
      <c r="B56" s="103"/>
      <c r="C56" s="104"/>
      <c r="D56" s="99" t="e">
        <f>B72</f>
        <v>#DIV/0!</v>
      </c>
      <c r="E56" s="100" t="e">
        <f>C72</f>
        <v>#DIV/0!</v>
      </c>
      <c r="F56" s="101" t="e">
        <f t="shared" si="0"/>
        <v>#DIV/0!</v>
      </c>
      <c r="G56" s="108"/>
      <c r="H56" s="108"/>
      <c r="I56" s="108"/>
    </row>
    <row r="57" spans="1:9" x14ac:dyDescent="0.45">
      <c r="A57" s="102"/>
      <c r="B57" s="103"/>
      <c r="C57" s="104"/>
      <c r="D57" s="99" t="e">
        <f>B72</f>
        <v>#DIV/0!</v>
      </c>
      <c r="E57" s="100" t="e">
        <f>C72</f>
        <v>#DIV/0!</v>
      </c>
      <c r="F57" s="101" t="e">
        <f t="shared" si="0"/>
        <v>#DIV/0!</v>
      </c>
      <c r="G57" s="108"/>
      <c r="H57" s="108"/>
      <c r="I57" s="108"/>
    </row>
    <row r="58" spans="1:9" x14ac:dyDescent="0.45">
      <c r="A58" s="102"/>
      <c r="B58" s="103"/>
      <c r="C58" s="104"/>
      <c r="D58" s="99" t="e">
        <f>B72</f>
        <v>#DIV/0!</v>
      </c>
      <c r="E58" s="100" t="e">
        <f>C72</f>
        <v>#DIV/0!</v>
      </c>
      <c r="F58" s="101" t="e">
        <f t="shared" si="0"/>
        <v>#DIV/0!</v>
      </c>
      <c r="G58" s="108"/>
      <c r="H58" s="108"/>
      <c r="I58" s="108"/>
    </row>
    <row r="59" spans="1:9" x14ac:dyDescent="0.45">
      <c r="A59" s="102"/>
      <c r="B59" s="103"/>
      <c r="C59" s="104"/>
      <c r="D59" s="99" t="e">
        <f>B72</f>
        <v>#DIV/0!</v>
      </c>
      <c r="E59" s="100" t="e">
        <f>C72</f>
        <v>#DIV/0!</v>
      </c>
      <c r="F59" s="101" t="e">
        <f t="shared" si="0"/>
        <v>#DIV/0!</v>
      </c>
      <c r="G59" s="108"/>
      <c r="H59" s="108"/>
      <c r="I59" s="108"/>
    </row>
    <row r="60" spans="1:9" x14ac:dyDescent="0.45">
      <c r="A60" s="102"/>
      <c r="B60" s="103"/>
      <c r="C60" s="104"/>
      <c r="D60" s="99" t="e">
        <f>B72</f>
        <v>#DIV/0!</v>
      </c>
      <c r="E60" s="100" t="e">
        <f>C72</f>
        <v>#DIV/0!</v>
      </c>
      <c r="F60" s="101" t="e">
        <f t="shared" si="0"/>
        <v>#DIV/0!</v>
      </c>
      <c r="G60" s="108"/>
      <c r="H60" s="108"/>
      <c r="I60" s="108"/>
    </row>
    <row r="61" spans="1:9" x14ac:dyDescent="0.45">
      <c r="A61" s="102"/>
      <c r="B61" s="103"/>
      <c r="C61" s="104"/>
      <c r="D61" s="99" t="e">
        <f>B72</f>
        <v>#DIV/0!</v>
      </c>
      <c r="E61" s="100" t="e">
        <f>C72</f>
        <v>#DIV/0!</v>
      </c>
      <c r="F61" s="101" t="e">
        <f t="shared" si="0"/>
        <v>#DIV/0!</v>
      </c>
      <c r="G61" s="108"/>
      <c r="H61" s="108"/>
      <c r="I61" s="108"/>
    </row>
    <row r="62" spans="1:9" x14ac:dyDescent="0.45">
      <c r="A62" s="102"/>
      <c r="B62" s="103"/>
      <c r="C62" s="104"/>
      <c r="D62" s="99" t="e">
        <f>B72</f>
        <v>#DIV/0!</v>
      </c>
      <c r="E62" s="100" t="e">
        <f>C72</f>
        <v>#DIV/0!</v>
      </c>
      <c r="F62" s="101" t="e">
        <f t="shared" si="0"/>
        <v>#DIV/0!</v>
      </c>
      <c r="G62" s="108"/>
      <c r="H62" s="108"/>
      <c r="I62" s="108"/>
    </row>
    <row r="63" spans="1:9" x14ac:dyDescent="0.45">
      <c r="A63" s="102"/>
      <c r="B63" s="103"/>
      <c r="C63" s="104"/>
      <c r="D63" s="99" t="e">
        <f>B72</f>
        <v>#DIV/0!</v>
      </c>
      <c r="E63" s="100" t="e">
        <f>C72</f>
        <v>#DIV/0!</v>
      </c>
      <c r="F63" s="101" t="e">
        <f t="shared" si="0"/>
        <v>#DIV/0!</v>
      </c>
      <c r="G63" s="108"/>
      <c r="H63" s="108"/>
      <c r="I63" s="108"/>
    </row>
    <row r="64" spans="1:9" x14ac:dyDescent="0.45">
      <c r="A64" s="102"/>
      <c r="B64" s="103"/>
      <c r="C64" s="104"/>
      <c r="D64" s="99" t="e">
        <f>B72</f>
        <v>#DIV/0!</v>
      </c>
      <c r="E64" s="100" t="e">
        <f>C72</f>
        <v>#DIV/0!</v>
      </c>
      <c r="F64" s="101" t="e">
        <f t="shared" si="0"/>
        <v>#DIV/0!</v>
      </c>
      <c r="G64" s="108"/>
      <c r="H64" s="108"/>
      <c r="I64" s="108"/>
    </row>
    <row r="65" spans="1:9" x14ac:dyDescent="0.45">
      <c r="A65" s="102"/>
      <c r="B65" s="103"/>
      <c r="C65" s="104"/>
      <c r="D65" s="99" t="e">
        <f>B72</f>
        <v>#DIV/0!</v>
      </c>
      <c r="E65" s="100" t="e">
        <f>C72</f>
        <v>#DIV/0!</v>
      </c>
      <c r="F65" s="101" t="e">
        <f t="shared" si="0"/>
        <v>#DIV/0!</v>
      </c>
      <c r="G65" s="108"/>
      <c r="H65" s="108"/>
      <c r="I65" s="108"/>
    </row>
    <row r="66" spans="1:9" x14ac:dyDescent="0.45">
      <c r="A66" s="102"/>
      <c r="B66" s="103"/>
      <c r="C66" s="104"/>
      <c r="D66" s="99" t="e">
        <f>B72</f>
        <v>#DIV/0!</v>
      </c>
      <c r="E66" s="100" t="e">
        <f>C72</f>
        <v>#DIV/0!</v>
      </c>
      <c r="F66" s="101" t="e">
        <f t="shared" si="0"/>
        <v>#DIV/0!</v>
      </c>
      <c r="G66" s="108"/>
      <c r="H66" s="108"/>
      <c r="I66" s="108"/>
    </row>
    <row r="67" spans="1:9" x14ac:dyDescent="0.45">
      <c r="A67" s="102"/>
      <c r="B67" s="103"/>
      <c r="C67" s="104"/>
      <c r="D67" s="99" t="e">
        <f>B72</f>
        <v>#DIV/0!</v>
      </c>
      <c r="E67" s="100" t="e">
        <f>C72</f>
        <v>#DIV/0!</v>
      </c>
      <c r="F67" s="101" t="e">
        <f t="shared" si="0"/>
        <v>#DIV/0!</v>
      </c>
      <c r="G67" s="108"/>
      <c r="H67" s="108"/>
      <c r="I67" s="108"/>
    </row>
    <row r="68" spans="1:9" x14ac:dyDescent="0.45">
      <c r="A68" s="102"/>
      <c r="B68" s="103"/>
      <c r="C68" s="104"/>
      <c r="D68" s="99" t="e">
        <f>B72</f>
        <v>#DIV/0!</v>
      </c>
      <c r="E68" s="100" t="e">
        <f>C72</f>
        <v>#DIV/0!</v>
      </c>
      <c r="F68" s="101" t="e">
        <f t="shared" si="0"/>
        <v>#DIV/0!</v>
      </c>
      <c r="G68" s="108"/>
      <c r="H68" s="108"/>
      <c r="I68" s="108"/>
    </row>
    <row r="69" spans="1:9" x14ac:dyDescent="0.45">
      <c r="A69" s="105"/>
      <c r="B69" s="106"/>
      <c r="C69" s="107"/>
      <c r="D69" s="99"/>
      <c r="E69" s="100"/>
      <c r="F69" s="108"/>
      <c r="G69" s="108"/>
      <c r="H69" s="108"/>
      <c r="I69" s="108"/>
    </row>
    <row r="70" spans="1:9" x14ac:dyDescent="0.45">
      <c r="A70" s="105"/>
      <c r="B70" s="106"/>
      <c r="C70" s="107"/>
      <c r="D70" s="99"/>
      <c r="E70" s="100"/>
      <c r="F70" s="108"/>
      <c r="G70" s="108"/>
      <c r="H70" s="108"/>
      <c r="I70" s="108"/>
    </row>
    <row r="71" spans="1:9" x14ac:dyDescent="0.45">
      <c r="A71" s="105"/>
      <c r="B71" s="106"/>
      <c r="C71" s="107"/>
      <c r="D71" s="99"/>
      <c r="E71" s="100"/>
      <c r="F71" s="108"/>
      <c r="G71" s="108"/>
      <c r="H71" s="108"/>
      <c r="I71" s="108"/>
    </row>
    <row r="72" spans="1:9" x14ac:dyDescent="0.45">
      <c r="A72" s="109" t="s">
        <v>26</v>
      </c>
      <c r="B72" s="110" t="e">
        <f>AVERAGE(B19:B68)</f>
        <v>#DIV/0!</v>
      </c>
      <c r="C72" s="110" t="e">
        <f>AVERAGE(C19:C68)</f>
        <v>#DIV/0!</v>
      </c>
      <c r="D72" s="99"/>
      <c r="E72" s="100"/>
    </row>
    <row r="73" spans="1:9" x14ac:dyDescent="0.45">
      <c r="A73" s="109" t="s">
        <v>27</v>
      </c>
      <c r="B73" s="110" t="e">
        <f>B72-1.1*(MAX(MAX(B19:B68)-B72,B72-MIN(B19:B68)))</f>
        <v>#DIV/0!</v>
      </c>
      <c r="C73" s="110" t="e">
        <f>C72-1.18*(MAX(MAX(C19:C68)-C72,C72-MIN(C19:C68)))</f>
        <v>#DIV/0!</v>
      </c>
      <c r="D73" s="99"/>
    </row>
    <row r="74" spans="1:9" x14ac:dyDescent="0.45">
      <c r="A74" s="109" t="s">
        <v>28</v>
      </c>
      <c r="B74" s="110" t="e">
        <f>B72+1.1*(MAX(MAX(B19:B68)-B72,B72-MIN(B19:B68)))</f>
        <v>#DIV/0!</v>
      </c>
      <c r="C74" s="110" t="e">
        <f>C72+1.18*(MAX(MAX(C19:C68)-C72,C72-MIN(C19:C68)))</f>
        <v>#DIV/0!</v>
      </c>
      <c r="D74" s="99"/>
    </row>
    <row r="75" spans="1:9" x14ac:dyDescent="0.45">
      <c r="D75" s="99"/>
    </row>
    <row r="76" spans="1:9" x14ac:dyDescent="0.45">
      <c r="B76" s="89"/>
      <c r="C76" s="89"/>
      <c r="D76" s="89"/>
    </row>
    <row r="77" spans="1:9" x14ac:dyDescent="0.45">
      <c r="B77" s="89"/>
      <c r="C77" s="89"/>
      <c r="D77" s="89"/>
    </row>
    <row r="78" spans="1:9" x14ac:dyDescent="0.45">
      <c r="D78" s="99"/>
    </row>
    <row r="79" spans="1:9" x14ac:dyDescent="0.45">
      <c r="D79" s="99"/>
    </row>
    <row r="80" spans="1:9" x14ac:dyDescent="0.45">
      <c r="D80" s="99"/>
    </row>
    <row r="81" spans="4:4" x14ac:dyDescent="0.45">
      <c r="D81" s="99"/>
    </row>
    <row r="82" spans="4:4" x14ac:dyDescent="0.45">
      <c r="D82" s="99"/>
    </row>
    <row r="83" spans="4:4" x14ac:dyDescent="0.45">
      <c r="D83" s="99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9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BD94A-7A03-4408-A34C-ED0B78AD1CF6}">
  <sheetPr codeName="Sheet1"/>
  <dimension ref="A1:R435"/>
  <sheetViews>
    <sheetView zoomScale="55" zoomScaleNormal="55" workbookViewId="0">
      <selection activeCell="X20" sqref="X20"/>
    </sheetView>
  </sheetViews>
  <sheetFormatPr defaultColWidth="8.75" defaultRowHeight="16" x14ac:dyDescent="0.45"/>
  <cols>
    <col min="1" max="1" width="68.08203125" style="29" customWidth="1"/>
    <col min="2" max="2" width="16.33203125" style="79" customWidth="1"/>
    <col min="3" max="3" width="15.08203125" style="80" customWidth="1"/>
    <col min="4" max="4" width="8.75" style="29" hidden="1" customWidth="1"/>
    <col min="5" max="5" width="9.33203125" style="29" hidden="1" customWidth="1"/>
    <col min="6" max="11" width="8.75" style="29" hidden="1" customWidth="1"/>
    <col min="12" max="12" width="11.08203125" style="29" hidden="1" customWidth="1"/>
    <col min="13" max="13" width="17.08203125" style="29" hidden="1" customWidth="1"/>
    <col min="14" max="14" width="16.33203125" style="29" hidden="1" customWidth="1"/>
    <col min="15" max="15" width="17.08203125" style="29" customWidth="1"/>
    <col min="16" max="16384" width="8.75" style="29"/>
  </cols>
  <sheetData>
    <row r="1" spans="1:16" ht="25.5" thickBot="1" x14ac:dyDescent="0.75">
      <c r="A1" s="27" t="s">
        <v>29</v>
      </c>
      <c r="B1" s="137"/>
      <c r="C1" s="137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ht="16.5" thickBot="1" x14ac:dyDescent="0.5">
      <c r="A2" s="30"/>
      <c r="B2" s="137"/>
      <c r="C2" s="137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16.5" thickBot="1" x14ac:dyDescent="0.5">
      <c r="A3" s="31" t="s">
        <v>30</v>
      </c>
      <c r="B3" s="137"/>
      <c r="C3" s="137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6" x14ac:dyDescent="0.45">
      <c r="A4" s="32" t="s">
        <v>31</v>
      </c>
      <c r="B4" s="33" t="e">
        <f>AVERAGE(B9:B58)</f>
        <v>#DIV/0!</v>
      </c>
      <c r="C4" s="34" t="e">
        <f>AVERAGE(C9:C58)</f>
        <v>#DIV/0!</v>
      </c>
      <c r="D4" s="35" t="s">
        <v>32</v>
      </c>
      <c r="E4" s="36" t="e">
        <f>B6-B5</f>
        <v>#DIV/0!</v>
      </c>
      <c r="F4" s="37" t="e">
        <f>C6-C5</f>
        <v>#DIV/0!</v>
      </c>
      <c r="G4" s="38"/>
      <c r="H4" s="39"/>
      <c r="I4" s="38"/>
      <c r="J4" s="38"/>
      <c r="K4" s="28"/>
      <c r="L4" s="28"/>
      <c r="M4" s="28"/>
      <c r="N4" s="28"/>
      <c r="O4" s="28"/>
      <c r="P4" s="28"/>
    </row>
    <row r="5" spans="1:16" ht="16.5" thickBot="1" x14ac:dyDescent="0.5">
      <c r="A5" s="117" t="s">
        <v>33</v>
      </c>
      <c r="B5" s="118" t="e">
        <f>B4-1.1*(MAX(MAX(B9:B58)-B4,B4-MIN(B9:B58)))</f>
        <v>#DIV/0!</v>
      </c>
      <c r="C5" s="119" t="e">
        <f>C4-1.1*(MAX(MAX(C9:C58)-C4,C4-MIN(C9:C58)))</f>
        <v>#DIV/0!</v>
      </c>
      <c r="D5" s="120" t="s">
        <v>34</v>
      </c>
      <c r="E5" s="121" t="e">
        <f>+E4/75</f>
        <v>#DIV/0!</v>
      </c>
      <c r="F5" s="122" t="e">
        <f>+F4/75</f>
        <v>#DIV/0!</v>
      </c>
      <c r="G5" s="38"/>
      <c r="H5" s="38"/>
      <c r="I5" s="38"/>
      <c r="J5" s="38"/>
      <c r="K5" s="28"/>
      <c r="L5" s="28"/>
      <c r="M5" s="28"/>
      <c r="N5" s="28"/>
      <c r="O5" s="28"/>
      <c r="P5" s="28"/>
    </row>
    <row r="6" spans="1:16" ht="16.5" thickBot="1" x14ac:dyDescent="0.5">
      <c r="A6" s="123" t="s">
        <v>35</v>
      </c>
      <c r="B6" s="124" t="e">
        <f>B4+1.1*(MAX(MAX(B9:B58)-B4,B4-MIN(B9:B58)))</f>
        <v>#DIV/0!</v>
      </c>
      <c r="C6" s="125" t="e">
        <f>C4+1.1*(MAX(MAX(C9:C58)-C4,C4-MIN(C9:C58)))</f>
        <v>#DIV/0!</v>
      </c>
      <c r="D6" s="40"/>
      <c r="E6" s="41"/>
      <c r="F6" s="41"/>
      <c r="G6" s="42"/>
      <c r="H6" s="42"/>
      <c r="I6" s="42"/>
      <c r="J6" s="42"/>
      <c r="K6" s="43"/>
      <c r="L6" s="43"/>
      <c r="M6" s="28"/>
      <c r="N6" s="28"/>
      <c r="O6" s="28"/>
      <c r="P6" s="28"/>
    </row>
    <row r="7" spans="1:16" x14ac:dyDescent="0.45">
      <c r="A7" s="28"/>
      <c r="B7" s="38"/>
      <c r="C7" s="44"/>
      <c r="D7" s="138" t="s">
        <v>36</v>
      </c>
      <c r="E7" s="139"/>
      <c r="F7" s="139"/>
      <c r="G7" s="139"/>
      <c r="H7" s="139"/>
      <c r="I7" s="139"/>
      <c r="J7" s="139"/>
      <c r="K7" s="139"/>
      <c r="L7" s="139"/>
      <c r="M7" s="140" t="s">
        <v>37</v>
      </c>
      <c r="N7" s="140"/>
      <c r="O7" s="144" t="s">
        <v>38</v>
      </c>
      <c r="P7" s="28"/>
    </row>
    <row r="8" spans="1:16" ht="16.5" thickBot="1" x14ac:dyDescent="0.5">
      <c r="A8" s="126" t="s">
        <v>39</v>
      </c>
      <c r="B8" s="127" t="s">
        <v>40</v>
      </c>
      <c r="C8" s="128" t="s">
        <v>41</v>
      </c>
      <c r="D8" s="146" t="s">
        <v>42</v>
      </c>
      <c r="E8" s="147"/>
      <c r="F8" s="129" t="s">
        <v>43</v>
      </c>
      <c r="G8" s="147" t="s">
        <v>44</v>
      </c>
      <c r="H8" s="147"/>
      <c r="I8" s="147"/>
      <c r="J8" s="147"/>
      <c r="K8" s="147" t="s">
        <v>45</v>
      </c>
      <c r="L8" s="147"/>
      <c r="M8" s="141"/>
      <c r="N8" s="141"/>
      <c r="O8" s="145"/>
      <c r="P8" s="28"/>
    </row>
    <row r="9" spans="1:16" x14ac:dyDescent="0.45">
      <c r="A9" s="130">
        <f>mtx_base_1!A19</f>
        <v>0</v>
      </c>
      <c r="B9" s="131" t="str">
        <f>IF(mtx_base_1!B19 = "","",mtx_base_1!B19)</f>
        <v/>
      </c>
      <c r="C9" s="132" t="str">
        <f>IF(mtx_base_1!C19 = "","",mtx_base_1!C19)</f>
        <v/>
      </c>
      <c r="D9" s="45" t="e">
        <f t="shared" ref="D9:D34" si="0">$B$4</f>
        <v>#DIV/0!</v>
      </c>
      <c r="E9" s="46" t="e">
        <f t="shared" ref="E9:E34" si="1">$C$4</f>
        <v>#DIV/0!</v>
      </c>
      <c r="F9" s="47" t="e">
        <f t="shared" ref="F9" si="2">IF(AND(B9&lt;D9,C9&lt;E9),"Blue",(IF(AND(B9&lt;D9,C9&gt;E9),"Red",(IF(AND(B9&gt;D9,C9&gt;E9),"Green",(IF(AND(B9&gt;D9,C9&lt;E9),"Yellow")))))))</f>
        <v>#DIV/0!</v>
      </c>
      <c r="G9" s="48" t="e">
        <f t="shared" ref="G9" si="3">B9-D9</f>
        <v>#VALUE!</v>
      </c>
      <c r="H9" s="48" t="e">
        <f t="shared" ref="H9" si="4">C9-E9</f>
        <v>#VALUE!</v>
      </c>
      <c r="I9" s="47" t="e">
        <f t="shared" ref="I9" si="5">IF((ABS(G9)&lt;$E$5),"TIE",F9)</f>
        <v>#VALUE!</v>
      </c>
      <c r="J9" s="47" t="e">
        <f t="shared" ref="J9" si="6">IF((ABS(H9)&lt;$F$5),"TIE",F9)</f>
        <v>#VALUE!</v>
      </c>
      <c r="K9" s="47" t="e">
        <f t="shared" ref="K9" si="7">IF(AND(I9&lt;&gt;"TIE",J9&lt;&gt;"TIE"),F9,"TIE")</f>
        <v>#VALUE!</v>
      </c>
      <c r="L9" s="49" t="e">
        <f t="shared" ref="L9" si="8">IF(AND(I9="TIE",C9&gt;E9),"Red/Green",(IF(AND(I9="TIE",C9&lt;E9),"Blue/Yellow",(IF(AND(B9&lt;D9,J9="TIE"),"Red/Blue",(IF(AND(B9&gt;D9,J9="TIE"),"Green/Yellow")))))))</f>
        <v>#VALUE!</v>
      </c>
      <c r="M9" s="50" t="e">
        <f t="shared" ref="M9" si="9">IF(AND(I9="TIE",J9="TIE"),"Four Way Tie",IF(L9=FALSE,K9,L9))</f>
        <v>#VALUE!</v>
      </c>
      <c r="N9" s="51" t="e">
        <f t="shared" ref="N9" si="10">M9</f>
        <v>#VALUE!</v>
      </c>
      <c r="O9" s="52" t="e">
        <f t="shared" ref="O9" si="11">N9</f>
        <v>#VALUE!</v>
      </c>
      <c r="P9" s="28"/>
    </row>
    <row r="10" spans="1:16" x14ac:dyDescent="0.45">
      <c r="A10" s="130">
        <f>mtx_base_1!A20</f>
        <v>0</v>
      </c>
      <c r="B10" s="131" t="str">
        <f>IF(mtx_base_1!B20 = "","",mtx_base_1!B20)</f>
        <v/>
      </c>
      <c r="C10" s="132" t="str">
        <f>IF(mtx_base_1!C20 = "","",mtx_base_1!C20)</f>
        <v/>
      </c>
      <c r="D10" s="45" t="e">
        <f t="shared" si="0"/>
        <v>#DIV/0!</v>
      </c>
      <c r="E10" s="46" t="e">
        <f t="shared" si="1"/>
        <v>#DIV/0!</v>
      </c>
      <c r="F10" s="47" t="e">
        <f t="shared" ref="F10:F33" si="12">IF(AND(B10&lt;D10,C10&lt;E10),"Blue",(IF(AND(B10&lt;D10,C10&gt;E10),"Red",(IF(AND(B10&gt;D10,C10&gt;E10),"Green",(IF(AND(B10&gt;D10,C10&lt;E10),"Yellow")))))))</f>
        <v>#DIV/0!</v>
      </c>
      <c r="G10" s="48" t="e">
        <f t="shared" ref="G10:G33" si="13">B10-D10</f>
        <v>#VALUE!</v>
      </c>
      <c r="H10" s="48" t="e">
        <f t="shared" ref="H10:H33" si="14">C10-E10</f>
        <v>#VALUE!</v>
      </c>
      <c r="I10" s="47" t="e">
        <f t="shared" ref="I10:I33" si="15">IF((ABS(G10)&lt;$E$5),"TIE",F10)</f>
        <v>#VALUE!</v>
      </c>
      <c r="J10" s="47" t="e">
        <f t="shared" ref="J10:J33" si="16">IF((ABS(H10)&lt;$F$5),"TIE",F10)</f>
        <v>#VALUE!</v>
      </c>
      <c r="K10" s="47" t="e">
        <f t="shared" ref="K10:K33" si="17">IF(AND(I10&lt;&gt;"TIE",J10&lt;&gt;"TIE"),F10,"TIE")</f>
        <v>#VALUE!</v>
      </c>
      <c r="L10" s="49" t="e">
        <f t="shared" ref="L10:L33" si="18">IF(AND(I10="TIE",C10&gt;E10),"Red/Green",(IF(AND(I10="TIE",C10&lt;E10),"Blue/Yellow",(IF(AND(B10&lt;D10,J10="TIE"),"Red/Blue",(IF(AND(B10&gt;D10,J10="TIE"),"Green/Yellow")))))))</f>
        <v>#VALUE!</v>
      </c>
      <c r="M10" s="50" t="e">
        <f t="shared" ref="M10:M33" si="19">IF(AND(I10="TIE",J10="TIE"),"Four Way Tie",IF(L10=FALSE,K10,L10))</f>
        <v>#VALUE!</v>
      </c>
      <c r="N10" s="51" t="e">
        <f t="shared" ref="N10:N33" si="20">M10</f>
        <v>#VALUE!</v>
      </c>
      <c r="O10" s="52" t="e">
        <f t="shared" ref="O10:O33" si="21">N10</f>
        <v>#VALUE!</v>
      </c>
      <c r="P10" s="28"/>
    </row>
    <row r="11" spans="1:16" x14ac:dyDescent="0.45">
      <c r="A11" s="130">
        <f>mtx_base_1!A21</f>
        <v>0</v>
      </c>
      <c r="B11" s="131" t="str">
        <f>IF(mtx_base_1!B21 = "","",mtx_base_1!B21)</f>
        <v/>
      </c>
      <c r="C11" s="132" t="str">
        <f>IF(mtx_base_1!C21 = "","",mtx_base_1!C21)</f>
        <v/>
      </c>
      <c r="D11" s="45" t="e">
        <f t="shared" si="0"/>
        <v>#DIV/0!</v>
      </c>
      <c r="E11" s="46" t="e">
        <f t="shared" si="1"/>
        <v>#DIV/0!</v>
      </c>
      <c r="F11" s="47" t="e">
        <f t="shared" si="12"/>
        <v>#DIV/0!</v>
      </c>
      <c r="G11" s="48" t="e">
        <f t="shared" si="13"/>
        <v>#VALUE!</v>
      </c>
      <c r="H11" s="48" t="e">
        <f t="shared" si="14"/>
        <v>#VALUE!</v>
      </c>
      <c r="I11" s="47" t="e">
        <f t="shared" si="15"/>
        <v>#VALUE!</v>
      </c>
      <c r="J11" s="47" t="e">
        <f t="shared" si="16"/>
        <v>#VALUE!</v>
      </c>
      <c r="K11" s="47" t="e">
        <f t="shared" si="17"/>
        <v>#VALUE!</v>
      </c>
      <c r="L11" s="49" t="e">
        <f t="shared" si="18"/>
        <v>#VALUE!</v>
      </c>
      <c r="M11" s="50" t="e">
        <f t="shared" si="19"/>
        <v>#VALUE!</v>
      </c>
      <c r="N11" s="51" t="e">
        <f t="shared" si="20"/>
        <v>#VALUE!</v>
      </c>
      <c r="O11" s="52" t="e">
        <f t="shared" si="21"/>
        <v>#VALUE!</v>
      </c>
      <c r="P11" s="28"/>
    </row>
    <row r="12" spans="1:16" x14ac:dyDescent="0.45">
      <c r="A12" s="130">
        <f>mtx_base_1!A22</f>
        <v>0</v>
      </c>
      <c r="B12" s="131" t="str">
        <f>IF(mtx_base_1!B22 = "","",mtx_base_1!B22)</f>
        <v/>
      </c>
      <c r="C12" s="132" t="str">
        <f>IF(mtx_base_1!C22 = "","",mtx_base_1!C22)</f>
        <v/>
      </c>
      <c r="D12" s="45" t="e">
        <f t="shared" si="0"/>
        <v>#DIV/0!</v>
      </c>
      <c r="E12" s="46" t="e">
        <f t="shared" si="1"/>
        <v>#DIV/0!</v>
      </c>
      <c r="F12" s="47" t="e">
        <f t="shared" si="12"/>
        <v>#DIV/0!</v>
      </c>
      <c r="G12" s="48" t="e">
        <f t="shared" si="13"/>
        <v>#VALUE!</v>
      </c>
      <c r="H12" s="48" t="e">
        <f t="shared" si="14"/>
        <v>#VALUE!</v>
      </c>
      <c r="I12" s="47" t="e">
        <f t="shared" si="15"/>
        <v>#VALUE!</v>
      </c>
      <c r="J12" s="47" t="e">
        <f t="shared" si="16"/>
        <v>#VALUE!</v>
      </c>
      <c r="K12" s="47" t="e">
        <f t="shared" si="17"/>
        <v>#VALUE!</v>
      </c>
      <c r="L12" s="49" t="e">
        <f t="shared" si="18"/>
        <v>#VALUE!</v>
      </c>
      <c r="M12" s="50" t="e">
        <f t="shared" si="19"/>
        <v>#VALUE!</v>
      </c>
      <c r="N12" s="51" t="e">
        <f t="shared" si="20"/>
        <v>#VALUE!</v>
      </c>
      <c r="O12" s="52" t="e">
        <f t="shared" si="21"/>
        <v>#VALUE!</v>
      </c>
      <c r="P12" s="28"/>
    </row>
    <row r="13" spans="1:16" x14ac:dyDescent="0.45">
      <c r="A13" s="130">
        <f>mtx_base_1!A23</f>
        <v>0</v>
      </c>
      <c r="B13" s="131" t="str">
        <f>IF(mtx_base_1!B23 = "","",mtx_base_1!B23)</f>
        <v/>
      </c>
      <c r="C13" s="132" t="str">
        <f>IF(mtx_base_1!C23 = "","",mtx_base_1!C23)</f>
        <v/>
      </c>
      <c r="D13" s="45" t="e">
        <f t="shared" si="0"/>
        <v>#DIV/0!</v>
      </c>
      <c r="E13" s="46" t="e">
        <f t="shared" si="1"/>
        <v>#DIV/0!</v>
      </c>
      <c r="F13" s="47" t="e">
        <f t="shared" si="12"/>
        <v>#DIV/0!</v>
      </c>
      <c r="G13" s="48" t="e">
        <f t="shared" si="13"/>
        <v>#VALUE!</v>
      </c>
      <c r="H13" s="48" t="e">
        <f t="shared" si="14"/>
        <v>#VALUE!</v>
      </c>
      <c r="I13" s="47" t="e">
        <f t="shared" si="15"/>
        <v>#VALUE!</v>
      </c>
      <c r="J13" s="47" t="e">
        <f t="shared" si="16"/>
        <v>#VALUE!</v>
      </c>
      <c r="K13" s="47" t="e">
        <f t="shared" si="17"/>
        <v>#VALUE!</v>
      </c>
      <c r="L13" s="49" t="e">
        <f t="shared" si="18"/>
        <v>#VALUE!</v>
      </c>
      <c r="M13" s="50" t="e">
        <f t="shared" si="19"/>
        <v>#VALUE!</v>
      </c>
      <c r="N13" s="51" t="e">
        <f t="shared" si="20"/>
        <v>#VALUE!</v>
      </c>
      <c r="O13" s="52" t="e">
        <f t="shared" si="21"/>
        <v>#VALUE!</v>
      </c>
      <c r="P13" s="28"/>
    </row>
    <row r="14" spans="1:16" x14ac:dyDescent="0.45">
      <c r="A14" s="130">
        <f>mtx_base_1!A24</f>
        <v>0</v>
      </c>
      <c r="B14" s="131" t="str">
        <f>IF(mtx_base_1!B24 = "","",mtx_base_1!B24)</f>
        <v/>
      </c>
      <c r="C14" s="132" t="str">
        <f>IF(mtx_base_1!C24 = "","",mtx_base_1!C24)</f>
        <v/>
      </c>
      <c r="D14" s="45" t="e">
        <f t="shared" si="0"/>
        <v>#DIV/0!</v>
      </c>
      <c r="E14" s="46" t="e">
        <f t="shared" si="1"/>
        <v>#DIV/0!</v>
      </c>
      <c r="F14" s="47" t="e">
        <f t="shared" si="12"/>
        <v>#DIV/0!</v>
      </c>
      <c r="G14" s="48" t="e">
        <f t="shared" si="13"/>
        <v>#VALUE!</v>
      </c>
      <c r="H14" s="48" t="e">
        <f t="shared" si="14"/>
        <v>#VALUE!</v>
      </c>
      <c r="I14" s="47" t="e">
        <f t="shared" si="15"/>
        <v>#VALUE!</v>
      </c>
      <c r="J14" s="47" t="e">
        <f t="shared" si="16"/>
        <v>#VALUE!</v>
      </c>
      <c r="K14" s="47" t="e">
        <f t="shared" si="17"/>
        <v>#VALUE!</v>
      </c>
      <c r="L14" s="49" t="e">
        <f t="shared" si="18"/>
        <v>#VALUE!</v>
      </c>
      <c r="M14" s="50" t="e">
        <f t="shared" si="19"/>
        <v>#VALUE!</v>
      </c>
      <c r="N14" s="51" t="e">
        <f t="shared" si="20"/>
        <v>#VALUE!</v>
      </c>
      <c r="O14" s="52" t="e">
        <f t="shared" si="21"/>
        <v>#VALUE!</v>
      </c>
      <c r="P14" s="28"/>
    </row>
    <row r="15" spans="1:16" x14ac:dyDescent="0.45">
      <c r="A15" s="130">
        <f>mtx_base_1!A25</f>
        <v>0</v>
      </c>
      <c r="B15" s="131" t="str">
        <f>IF(mtx_base_1!B25 = "","",mtx_base_1!B25)</f>
        <v/>
      </c>
      <c r="C15" s="132" t="str">
        <f>IF(mtx_base_1!C25 = "","",mtx_base_1!C25)</f>
        <v/>
      </c>
      <c r="D15" s="45" t="e">
        <f t="shared" si="0"/>
        <v>#DIV/0!</v>
      </c>
      <c r="E15" s="46" t="e">
        <f t="shared" si="1"/>
        <v>#DIV/0!</v>
      </c>
      <c r="F15" s="47" t="e">
        <f t="shared" si="12"/>
        <v>#DIV/0!</v>
      </c>
      <c r="G15" s="48" t="e">
        <f t="shared" si="13"/>
        <v>#VALUE!</v>
      </c>
      <c r="H15" s="48" t="e">
        <f t="shared" si="14"/>
        <v>#VALUE!</v>
      </c>
      <c r="I15" s="47" t="e">
        <f t="shared" si="15"/>
        <v>#VALUE!</v>
      </c>
      <c r="J15" s="47" t="e">
        <f t="shared" si="16"/>
        <v>#VALUE!</v>
      </c>
      <c r="K15" s="47" t="e">
        <f t="shared" si="17"/>
        <v>#VALUE!</v>
      </c>
      <c r="L15" s="49" t="e">
        <f t="shared" si="18"/>
        <v>#VALUE!</v>
      </c>
      <c r="M15" s="50" t="e">
        <f t="shared" si="19"/>
        <v>#VALUE!</v>
      </c>
      <c r="N15" s="51" t="e">
        <f t="shared" si="20"/>
        <v>#VALUE!</v>
      </c>
      <c r="O15" s="52" t="e">
        <f t="shared" si="21"/>
        <v>#VALUE!</v>
      </c>
      <c r="P15" s="28"/>
    </row>
    <row r="16" spans="1:16" x14ac:dyDescent="0.45">
      <c r="A16" s="130">
        <f>mtx_base_1!A26</f>
        <v>0</v>
      </c>
      <c r="B16" s="131" t="str">
        <f>IF(mtx_base_1!B26 = "","",mtx_base_1!B26)</f>
        <v/>
      </c>
      <c r="C16" s="132" t="str">
        <f>IF(mtx_base_1!C26 = "","",mtx_base_1!C26)</f>
        <v/>
      </c>
      <c r="D16" s="45" t="e">
        <f t="shared" si="0"/>
        <v>#DIV/0!</v>
      </c>
      <c r="E16" s="46" t="e">
        <f t="shared" si="1"/>
        <v>#DIV/0!</v>
      </c>
      <c r="F16" s="47" t="e">
        <f t="shared" si="12"/>
        <v>#DIV/0!</v>
      </c>
      <c r="G16" s="48" t="e">
        <f t="shared" si="13"/>
        <v>#VALUE!</v>
      </c>
      <c r="H16" s="48" t="e">
        <f t="shared" si="14"/>
        <v>#VALUE!</v>
      </c>
      <c r="I16" s="47" t="e">
        <f t="shared" si="15"/>
        <v>#VALUE!</v>
      </c>
      <c r="J16" s="47" t="e">
        <f t="shared" si="16"/>
        <v>#VALUE!</v>
      </c>
      <c r="K16" s="47" t="e">
        <f t="shared" si="17"/>
        <v>#VALUE!</v>
      </c>
      <c r="L16" s="49" t="e">
        <f t="shared" si="18"/>
        <v>#VALUE!</v>
      </c>
      <c r="M16" s="50" t="e">
        <f t="shared" si="19"/>
        <v>#VALUE!</v>
      </c>
      <c r="N16" s="51" t="e">
        <f t="shared" si="20"/>
        <v>#VALUE!</v>
      </c>
      <c r="O16" s="52" t="e">
        <f t="shared" si="21"/>
        <v>#VALUE!</v>
      </c>
      <c r="P16" s="28"/>
    </row>
    <row r="17" spans="1:16" x14ac:dyDescent="0.45">
      <c r="A17" s="130">
        <f>mtx_base_1!A27</f>
        <v>0</v>
      </c>
      <c r="B17" s="131" t="str">
        <f>IF(mtx_base_1!B27 = "","",mtx_base_1!B27)</f>
        <v/>
      </c>
      <c r="C17" s="132" t="str">
        <f>IF(mtx_base_1!C27 = "","",mtx_base_1!C27)</f>
        <v/>
      </c>
      <c r="D17" s="45" t="e">
        <f t="shared" si="0"/>
        <v>#DIV/0!</v>
      </c>
      <c r="E17" s="46" t="e">
        <f t="shared" si="1"/>
        <v>#DIV/0!</v>
      </c>
      <c r="F17" s="47" t="e">
        <f t="shared" si="12"/>
        <v>#DIV/0!</v>
      </c>
      <c r="G17" s="48" t="e">
        <f t="shared" si="13"/>
        <v>#VALUE!</v>
      </c>
      <c r="H17" s="48" t="e">
        <f t="shared" si="14"/>
        <v>#VALUE!</v>
      </c>
      <c r="I17" s="47" t="e">
        <f t="shared" si="15"/>
        <v>#VALUE!</v>
      </c>
      <c r="J17" s="47" t="e">
        <f t="shared" si="16"/>
        <v>#VALUE!</v>
      </c>
      <c r="K17" s="47" t="e">
        <f t="shared" si="17"/>
        <v>#VALUE!</v>
      </c>
      <c r="L17" s="49" t="e">
        <f t="shared" si="18"/>
        <v>#VALUE!</v>
      </c>
      <c r="M17" s="50" t="e">
        <f t="shared" si="19"/>
        <v>#VALUE!</v>
      </c>
      <c r="N17" s="51" t="e">
        <f t="shared" si="20"/>
        <v>#VALUE!</v>
      </c>
      <c r="O17" s="52" t="e">
        <f t="shared" si="21"/>
        <v>#VALUE!</v>
      </c>
      <c r="P17" s="28"/>
    </row>
    <row r="18" spans="1:16" x14ac:dyDescent="0.45">
      <c r="A18" s="130">
        <f>mtx_base_1!A28</f>
        <v>0</v>
      </c>
      <c r="B18" s="131" t="str">
        <f>IF(mtx_base_1!B28 = "","",mtx_base_1!B28)</f>
        <v/>
      </c>
      <c r="C18" s="132" t="str">
        <f>IF(mtx_base_1!C28 = "","",mtx_base_1!C28)</f>
        <v/>
      </c>
      <c r="D18" s="45" t="e">
        <f t="shared" si="0"/>
        <v>#DIV/0!</v>
      </c>
      <c r="E18" s="46" t="e">
        <f t="shared" si="1"/>
        <v>#DIV/0!</v>
      </c>
      <c r="F18" s="47" t="e">
        <f t="shared" si="12"/>
        <v>#DIV/0!</v>
      </c>
      <c r="G18" s="48" t="e">
        <f t="shared" si="13"/>
        <v>#VALUE!</v>
      </c>
      <c r="H18" s="48" t="e">
        <f t="shared" si="14"/>
        <v>#VALUE!</v>
      </c>
      <c r="I18" s="47" t="e">
        <f t="shared" si="15"/>
        <v>#VALUE!</v>
      </c>
      <c r="J18" s="47" t="e">
        <f t="shared" si="16"/>
        <v>#VALUE!</v>
      </c>
      <c r="K18" s="47" t="e">
        <f t="shared" si="17"/>
        <v>#VALUE!</v>
      </c>
      <c r="L18" s="49" t="e">
        <f t="shared" si="18"/>
        <v>#VALUE!</v>
      </c>
      <c r="M18" s="50" t="e">
        <f t="shared" si="19"/>
        <v>#VALUE!</v>
      </c>
      <c r="N18" s="51" t="e">
        <f t="shared" si="20"/>
        <v>#VALUE!</v>
      </c>
      <c r="O18" s="52" t="e">
        <f t="shared" si="21"/>
        <v>#VALUE!</v>
      </c>
      <c r="P18" s="28"/>
    </row>
    <row r="19" spans="1:16" x14ac:dyDescent="0.45">
      <c r="A19" s="130">
        <f>mtx_base_1!A29</f>
        <v>0</v>
      </c>
      <c r="B19" s="131" t="str">
        <f>IF(mtx_base_1!B29 = "","",mtx_base_1!B29)</f>
        <v/>
      </c>
      <c r="C19" s="132" t="str">
        <f>IF(mtx_base_1!C29 = "","",mtx_base_1!C29)</f>
        <v/>
      </c>
      <c r="D19" s="45" t="e">
        <f t="shared" si="0"/>
        <v>#DIV/0!</v>
      </c>
      <c r="E19" s="46" t="e">
        <f t="shared" si="1"/>
        <v>#DIV/0!</v>
      </c>
      <c r="F19" s="47" t="e">
        <f t="shared" si="12"/>
        <v>#DIV/0!</v>
      </c>
      <c r="G19" s="48" t="e">
        <f t="shared" si="13"/>
        <v>#VALUE!</v>
      </c>
      <c r="H19" s="48" t="e">
        <f t="shared" si="14"/>
        <v>#VALUE!</v>
      </c>
      <c r="I19" s="47" t="e">
        <f t="shared" si="15"/>
        <v>#VALUE!</v>
      </c>
      <c r="J19" s="47" t="e">
        <f t="shared" si="16"/>
        <v>#VALUE!</v>
      </c>
      <c r="K19" s="47" t="e">
        <f t="shared" si="17"/>
        <v>#VALUE!</v>
      </c>
      <c r="L19" s="49" t="e">
        <f t="shared" si="18"/>
        <v>#VALUE!</v>
      </c>
      <c r="M19" s="50" t="e">
        <f t="shared" si="19"/>
        <v>#VALUE!</v>
      </c>
      <c r="N19" s="51" t="e">
        <f t="shared" si="20"/>
        <v>#VALUE!</v>
      </c>
      <c r="O19" s="52" t="e">
        <f t="shared" si="21"/>
        <v>#VALUE!</v>
      </c>
      <c r="P19" s="28"/>
    </row>
    <row r="20" spans="1:16" x14ac:dyDescent="0.45">
      <c r="A20" s="130">
        <f>mtx_base_1!A30</f>
        <v>0</v>
      </c>
      <c r="B20" s="131" t="str">
        <f>IF(mtx_base_1!B30 = "","",mtx_base_1!B30)</f>
        <v/>
      </c>
      <c r="C20" s="132" t="str">
        <f>IF(mtx_base_1!C30 = "","",mtx_base_1!C30)</f>
        <v/>
      </c>
      <c r="D20" s="45" t="e">
        <f t="shared" si="0"/>
        <v>#DIV/0!</v>
      </c>
      <c r="E20" s="46" t="e">
        <f t="shared" si="1"/>
        <v>#DIV/0!</v>
      </c>
      <c r="F20" s="47" t="e">
        <f t="shared" si="12"/>
        <v>#DIV/0!</v>
      </c>
      <c r="G20" s="48" t="e">
        <f t="shared" si="13"/>
        <v>#VALUE!</v>
      </c>
      <c r="H20" s="48" t="e">
        <f t="shared" si="14"/>
        <v>#VALUE!</v>
      </c>
      <c r="I20" s="47" t="e">
        <f t="shared" si="15"/>
        <v>#VALUE!</v>
      </c>
      <c r="J20" s="47" t="e">
        <f t="shared" si="16"/>
        <v>#VALUE!</v>
      </c>
      <c r="K20" s="47" t="e">
        <f t="shared" si="17"/>
        <v>#VALUE!</v>
      </c>
      <c r="L20" s="49" t="e">
        <f t="shared" si="18"/>
        <v>#VALUE!</v>
      </c>
      <c r="M20" s="50" t="e">
        <f t="shared" si="19"/>
        <v>#VALUE!</v>
      </c>
      <c r="N20" s="51" t="e">
        <f t="shared" si="20"/>
        <v>#VALUE!</v>
      </c>
      <c r="O20" s="52" t="e">
        <f t="shared" si="21"/>
        <v>#VALUE!</v>
      </c>
      <c r="P20" s="28"/>
    </row>
    <row r="21" spans="1:16" x14ac:dyDescent="0.45">
      <c r="A21" s="130">
        <f>mtx_base_1!A31</f>
        <v>0</v>
      </c>
      <c r="B21" s="131" t="str">
        <f>IF(mtx_base_1!B31 = "","",mtx_base_1!B31)</f>
        <v/>
      </c>
      <c r="C21" s="132" t="str">
        <f>IF(mtx_base_1!C31 = "","",mtx_base_1!C31)</f>
        <v/>
      </c>
      <c r="D21" s="45" t="e">
        <f t="shared" si="0"/>
        <v>#DIV/0!</v>
      </c>
      <c r="E21" s="46" t="e">
        <f t="shared" si="1"/>
        <v>#DIV/0!</v>
      </c>
      <c r="F21" s="47" t="e">
        <f t="shared" si="12"/>
        <v>#DIV/0!</v>
      </c>
      <c r="G21" s="48" t="e">
        <f t="shared" si="13"/>
        <v>#VALUE!</v>
      </c>
      <c r="H21" s="48" t="e">
        <f t="shared" si="14"/>
        <v>#VALUE!</v>
      </c>
      <c r="I21" s="47" t="e">
        <f t="shared" si="15"/>
        <v>#VALUE!</v>
      </c>
      <c r="J21" s="47" t="e">
        <f t="shared" si="16"/>
        <v>#VALUE!</v>
      </c>
      <c r="K21" s="47" t="e">
        <f t="shared" si="17"/>
        <v>#VALUE!</v>
      </c>
      <c r="L21" s="49" t="e">
        <f t="shared" si="18"/>
        <v>#VALUE!</v>
      </c>
      <c r="M21" s="50" t="e">
        <f t="shared" si="19"/>
        <v>#VALUE!</v>
      </c>
      <c r="N21" s="51" t="e">
        <f t="shared" si="20"/>
        <v>#VALUE!</v>
      </c>
      <c r="O21" s="52" t="e">
        <f t="shared" si="21"/>
        <v>#VALUE!</v>
      </c>
      <c r="P21" s="28"/>
    </row>
    <row r="22" spans="1:16" x14ac:dyDescent="0.45">
      <c r="A22" s="130">
        <f>mtx_base_1!A32</f>
        <v>0</v>
      </c>
      <c r="B22" s="131" t="str">
        <f>IF(mtx_base_1!B32 = "","",mtx_base_1!B32)</f>
        <v/>
      </c>
      <c r="C22" s="132" t="str">
        <f>IF(mtx_base_1!C32 = "","",mtx_base_1!C32)</f>
        <v/>
      </c>
      <c r="D22" s="45" t="e">
        <f t="shared" si="0"/>
        <v>#DIV/0!</v>
      </c>
      <c r="E22" s="46" t="e">
        <f t="shared" si="1"/>
        <v>#DIV/0!</v>
      </c>
      <c r="F22" s="47" t="e">
        <f t="shared" si="12"/>
        <v>#DIV/0!</v>
      </c>
      <c r="G22" s="48" t="e">
        <f t="shared" si="13"/>
        <v>#VALUE!</v>
      </c>
      <c r="H22" s="48" t="e">
        <f t="shared" si="14"/>
        <v>#VALUE!</v>
      </c>
      <c r="I22" s="47" t="e">
        <f t="shared" si="15"/>
        <v>#VALUE!</v>
      </c>
      <c r="J22" s="47" t="e">
        <f t="shared" si="16"/>
        <v>#VALUE!</v>
      </c>
      <c r="K22" s="47" t="e">
        <f t="shared" si="17"/>
        <v>#VALUE!</v>
      </c>
      <c r="L22" s="49" t="e">
        <f t="shared" si="18"/>
        <v>#VALUE!</v>
      </c>
      <c r="M22" s="50" t="e">
        <f t="shared" si="19"/>
        <v>#VALUE!</v>
      </c>
      <c r="N22" s="51" t="e">
        <f t="shared" si="20"/>
        <v>#VALUE!</v>
      </c>
      <c r="O22" s="52" t="e">
        <f t="shared" si="21"/>
        <v>#VALUE!</v>
      </c>
      <c r="P22" s="28"/>
    </row>
    <row r="23" spans="1:16" x14ac:dyDescent="0.45">
      <c r="A23" s="130">
        <f>mtx_base_1!A33</f>
        <v>0</v>
      </c>
      <c r="B23" s="131" t="str">
        <f>IF(mtx_base_1!B33 = "","",mtx_base_1!B33)</f>
        <v/>
      </c>
      <c r="C23" s="132" t="str">
        <f>IF(mtx_base_1!C33 = "","",mtx_base_1!C33)</f>
        <v/>
      </c>
      <c r="D23" s="45" t="e">
        <f t="shared" si="0"/>
        <v>#DIV/0!</v>
      </c>
      <c r="E23" s="46" t="e">
        <f t="shared" si="1"/>
        <v>#DIV/0!</v>
      </c>
      <c r="F23" s="47" t="e">
        <f t="shared" si="12"/>
        <v>#DIV/0!</v>
      </c>
      <c r="G23" s="48" t="e">
        <f t="shared" si="13"/>
        <v>#VALUE!</v>
      </c>
      <c r="H23" s="48" t="e">
        <f t="shared" si="14"/>
        <v>#VALUE!</v>
      </c>
      <c r="I23" s="47" t="e">
        <f t="shared" si="15"/>
        <v>#VALUE!</v>
      </c>
      <c r="J23" s="47" t="e">
        <f t="shared" si="16"/>
        <v>#VALUE!</v>
      </c>
      <c r="K23" s="47" t="e">
        <f t="shared" si="17"/>
        <v>#VALUE!</v>
      </c>
      <c r="L23" s="49" t="e">
        <f t="shared" si="18"/>
        <v>#VALUE!</v>
      </c>
      <c r="M23" s="50" t="e">
        <f t="shared" si="19"/>
        <v>#VALUE!</v>
      </c>
      <c r="N23" s="51" t="e">
        <f t="shared" si="20"/>
        <v>#VALUE!</v>
      </c>
      <c r="O23" s="52" t="e">
        <f t="shared" si="21"/>
        <v>#VALUE!</v>
      </c>
      <c r="P23" s="28"/>
    </row>
    <row r="24" spans="1:16" x14ac:dyDescent="0.45">
      <c r="A24" s="130">
        <f>mtx_base_1!A34</f>
        <v>0</v>
      </c>
      <c r="B24" s="131" t="str">
        <f>IF(mtx_base_1!B34 = "","",mtx_base_1!B34)</f>
        <v/>
      </c>
      <c r="C24" s="132" t="str">
        <f>IF(mtx_base_1!C34 = "","",mtx_base_1!C34)</f>
        <v/>
      </c>
      <c r="D24" s="45" t="e">
        <f t="shared" si="0"/>
        <v>#DIV/0!</v>
      </c>
      <c r="E24" s="46" t="e">
        <f t="shared" si="1"/>
        <v>#DIV/0!</v>
      </c>
      <c r="F24" s="47" t="e">
        <f t="shared" si="12"/>
        <v>#DIV/0!</v>
      </c>
      <c r="G24" s="48" t="e">
        <f t="shared" si="13"/>
        <v>#VALUE!</v>
      </c>
      <c r="H24" s="48" t="e">
        <f t="shared" si="14"/>
        <v>#VALUE!</v>
      </c>
      <c r="I24" s="47" t="e">
        <f t="shared" si="15"/>
        <v>#VALUE!</v>
      </c>
      <c r="J24" s="47" t="e">
        <f t="shared" si="16"/>
        <v>#VALUE!</v>
      </c>
      <c r="K24" s="47" t="e">
        <f t="shared" si="17"/>
        <v>#VALUE!</v>
      </c>
      <c r="L24" s="49" t="e">
        <f t="shared" si="18"/>
        <v>#VALUE!</v>
      </c>
      <c r="M24" s="50" t="e">
        <f t="shared" si="19"/>
        <v>#VALUE!</v>
      </c>
      <c r="N24" s="51" t="e">
        <f t="shared" si="20"/>
        <v>#VALUE!</v>
      </c>
      <c r="O24" s="52" t="e">
        <f t="shared" si="21"/>
        <v>#VALUE!</v>
      </c>
      <c r="P24" s="28"/>
    </row>
    <row r="25" spans="1:16" x14ac:dyDescent="0.45">
      <c r="A25" s="130">
        <f>mtx_base_1!A35</f>
        <v>0</v>
      </c>
      <c r="B25" s="131" t="str">
        <f>IF(mtx_base_1!B35 = "","",mtx_base_1!B35)</f>
        <v/>
      </c>
      <c r="C25" s="132" t="str">
        <f>IF(mtx_base_1!C35 = "","",mtx_base_1!C35)</f>
        <v/>
      </c>
      <c r="D25" s="45" t="e">
        <f t="shared" si="0"/>
        <v>#DIV/0!</v>
      </c>
      <c r="E25" s="46" t="e">
        <f t="shared" si="1"/>
        <v>#DIV/0!</v>
      </c>
      <c r="F25" s="47" t="e">
        <f t="shared" si="12"/>
        <v>#DIV/0!</v>
      </c>
      <c r="G25" s="48" t="e">
        <f t="shared" si="13"/>
        <v>#VALUE!</v>
      </c>
      <c r="H25" s="48" t="e">
        <f t="shared" si="14"/>
        <v>#VALUE!</v>
      </c>
      <c r="I25" s="47" t="e">
        <f t="shared" si="15"/>
        <v>#VALUE!</v>
      </c>
      <c r="J25" s="47" t="e">
        <f t="shared" si="16"/>
        <v>#VALUE!</v>
      </c>
      <c r="K25" s="47" t="e">
        <f t="shared" si="17"/>
        <v>#VALUE!</v>
      </c>
      <c r="L25" s="49" t="e">
        <f t="shared" si="18"/>
        <v>#VALUE!</v>
      </c>
      <c r="M25" s="50" t="e">
        <f t="shared" si="19"/>
        <v>#VALUE!</v>
      </c>
      <c r="N25" s="51" t="e">
        <f t="shared" si="20"/>
        <v>#VALUE!</v>
      </c>
      <c r="O25" s="52" t="e">
        <f t="shared" si="21"/>
        <v>#VALUE!</v>
      </c>
      <c r="P25" s="28"/>
    </row>
    <row r="26" spans="1:16" x14ac:dyDescent="0.45">
      <c r="A26" s="130">
        <f>mtx_base_1!A36</f>
        <v>0</v>
      </c>
      <c r="B26" s="131" t="str">
        <f>IF(mtx_base_1!B36 = "","",mtx_base_1!B36)</f>
        <v/>
      </c>
      <c r="C26" s="132" t="str">
        <f>IF(mtx_base_1!C36 = "","",mtx_base_1!C36)</f>
        <v/>
      </c>
      <c r="D26" s="45" t="e">
        <f t="shared" si="0"/>
        <v>#DIV/0!</v>
      </c>
      <c r="E26" s="46" t="e">
        <f t="shared" si="1"/>
        <v>#DIV/0!</v>
      </c>
      <c r="F26" s="47" t="e">
        <f t="shared" si="12"/>
        <v>#DIV/0!</v>
      </c>
      <c r="G26" s="48" t="e">
        <f t="shared" si="13"/>
        <v>#VALUE!</v>
      </c>
      <c r="H26" s="48" t="e">
        <f t="shared" si="14"/>
        <v>#VALUE!</v>
      </c>
      <c r="I26" s="47" t="e">
        <f t="shared" si="15"/>
        <v>#VALUE!</v>
      </c>
      <c r="J26" s="47" t="e">
        <f t="shared" si="16"/>
        <v>#VALUE!</v>
      </c>
      <c r="K26" s="47" t="e">
        <f t="shared" si="17"/>
        <v>#VALUE!</v>
      </c>
      <c r="L26" s="49" t="e">
        <f t="shared" si="18"/>
        <v>#VALUE!</v>
      </c>
      <c r="M26" s="50" t="e">
        <f t="shared" si="19"/>
        <v>#VALUE!</v>
      </c>
      <c r="N26" s="51" t="e">
        <f t="shared" si="20"/>
        <v>#VALUE!</v>
      </c>
      <c r="O26" s="52" t="e">
        <f t="shared" si="21"/>
        <v>#VALUE!</v>
      </c>
      <c r="P26" s="28"/>
    </row>
    <row r="27" spans="1:16" x14ac:dyDescent="0.45">
      <c r="A27" s="130">
        <f>mtx_base_1!A37</f>
        <v>0</v>
      </c>
      <c r="B27" s="131" t="str">
        <f>IF(mtx_base_1!B37 = "","",mtx_base_1!B37)</f>
        <v/>
      </c>
      <c r="C27" s="132" t="str">
        <f>IF(mtx_base_1!C37 = "","",mtx_base_1!C37)</f>
        <v/>
      </c>
      <c r="D27" s="45" t="e">
        <f t="shared" si="0"/>
        <v>#DIV/0!</v>
      </c>
      <c r="E27" s="46" t="e">
        <f t="shared" si="1"/>
        <v>#DIV/0!</v>
      </c>
      <c r="F27" s="47" t="e">
        <f t="shared" si="12"/>
        <v>#DIV/0!</v>
      </c>
      <c r="G27" s="48" t="e">
        <f t="shared" si="13"/>
        <v>#VALUE!</v>
      </c>
      <c r="H27" s="48" t="e">
        <f t="shared" si="14"/>
        <v>#VALUE!</v>
      </c>
      <c r="I27" s="47" t="e">
        <f t="shared" si="15"/>
        <v>#VALUE!</v>
      </c>
      <c r="J27" s="47" t="e">
        <f t="shared" si="16"/>
        <v>#VALUE!</v>
      </c>
      <c r="K27" s="47" t="e">
        <f t="shared" si="17"/>
        <v>#VALUE!</v>
      </c>
      <c r="L27" s="49" t="e">
        <f t="shared" si="18"/>
        <v>#VALUE!</v>
      </c>
      <c r="M27" s="50" t="e">
        <f t="shared" si="19"/>
        <v>#VALUE!</v>
      </c>
      <c r="N27" s="51" t="e">
        <f t="shared" si="20"/>
        <v>#VALUE!</v>
      </c>
      <c r="O27" s="52" t="e">
        <f t="shared" si="21"/>
        <v>#VALUE!</v>
      </c>
      <c r="P27" s="28"/>
    </row>
    <row r="28" spans="1:16" x14ac:dyDescent="0.45">
      <c r="A28" s="130">
        <f>mtx_base_1!A38</f>
        <v>0</v>
      </c>
      <c r="B28" s="131" t="str">
        <f>IF(mtx_base_1!B38 = "","",mtx_base_1!B38)</f>
        <v/>
      </c>
      <c r="C28" s="132" t="str">
        <f>IF(mtx_base_1!C38 = "","",mtx_base_1!C38)</f>
        <v/>
      </c>
      <c r="D28" s="45" t="e">
        <f t="shared" si="0"/>
        <v>#DIV/0!</v>
      </c>
      <c r="E28" s="46" t="e">
        <f t="shared" si="1"/>
        <v>#DIV/0!</v>
      </c>
      <c r="F28" s="47" t="e">
        <f t="shared" si="12"/>
        <v>#DIV/0!</v>
      </c>
      <c r="G28" s="48" t="e">
        <f t="shared" si="13"/>
        <v>#VALUE!</v>
      </c>
      <c r="H28" s="48" t="e">
        <f t="shared" si="14"/>
        <v>#VALUE!</v>
      </c>
      <c r="I28" s="47" t="e">
        <f t="shared" si="15"/>
        <v>#VALUE!</v>
      </c>
      <c r="J28" s="47" t="e">
        <f t="shared" si="16"/>
        <v>#VALUE!</v>
      </c>
      <c r="K28" s="47" t="e">
        <f t="shared" si="17"/>
        <v>#VALUE!</v>
      </c>
      <c r="L28" s="49" t="e">
        <f t="shared" si="18"/>
        <v>#VALUE!</v>
      </c>
      <c r="M28" s="50" t="e">
        <f t="shared" si="19"/>
        <v>#VALUE!</v>
      </c>
      <c r="N28" s="51" t="e">
        <f t="shared" si="20"/>
        <v>#VALUE!</v>
      </c>
      <c r="O28" s="52" t="e">
        <f t="shared" si="21"/>
        <v>#VALUE!</v>
      </c>
      <c r="P28" s="28"/>
    </row>
    <row r="29" spans="1:16" x14ac:dyDescent="0.45">
      <c r="A29" s="130">
        <f>mtx_base_1!A39</f>
        <v>0</v>
      </c>
      <c r="B29" s="131" t="str">
        <f>IF(mtx_base_1!B39 = "","",mtx_base_1!B39)</f>
        <v/>
      </c>
      <c r="C29" s="132" t="str">
        <f>IF(mtx_base_1!C39 = "","",mtx_base_1!C39)</f>
        <v/>
      </c>
      <c r="D29" s="45" t="e">
        <f t="shared" si="0"/>
        <v>#DIV/0!</v>
      </c>
      <c r="E29" s="46" t="e">
        <f t="shared" si="1"/>
        <v>#DIV/0!</v>
      </c>
      <c r="F29" s="47" t="e">
        <f t="shared" si="12"/>
        <v>#DIV/0!</v>
      </c>
      <c r="G29" s="48" t="e">
        <f t="shared" si="13"/>
        <v>#VALUE!</v>
      </c>
      <c r="H29" s="48" t="e">
        <f t="shared" si="14"/>
        <v>#VALUE!</v>
      </c>
      <c r="I29" s="47" t="e">
        <f t="shared" si="15"/>
        <v>#VALUE!</v>
      </c>
      <c r="J29" s="47" t="e">
        <f t="shared" si="16"/>
        <v>#VALUE!</v>
      </c>
      <c r="K29" s="47" t="e">
        <f t="shared" si="17"/>
        <v>#VALUE!</v>
      </c>
      <c r="L29" s="49" t="e">
        <f t="shared" si="18"/>
        <v>#VALUE!</v>
      </c>
      <c r="M29" s="50" t="e">
        <f t="shared" si="19"/>
        <v>#VALUE!</v>
      </c>
      <c r="N29" s="51" t="e">
        <f t="shared" si="20"/>
        <v>#VALUE!</v>
      </c>
      <c r="O29" s="52" t="e">
        <f t="shared" si="21"/>
        <v>#VALUE!</v>
      </c>
      <c r="P29" s="28"/>
    </row>
    <row r="30" spans="1:16" x14ac:dyDescent="0.45">
      <c r="A30" s="130">
        <f>mtx_base_1!A40</f>
        <v>0</v>
      </c>
      <c r="B30" s="131" t="str">
        <f>IF(mtx_base_1!B40 = "","",mtx_base_1!B40)</f>
        <v/>
      </c>
      <c r="C30" s="132" t="str">
        <f>IF(mtx_base_1!C40 = "","",mtx_base_1!C40)</f>
        <v/>
      </c>
      <c r="D30" s="45" t="e">
        <f t="shared" si="0"/>
        <v>#DIV/0!</v>
      </c>
      <c r="E30" s="46" t="e">
        <f t="shared" si="1"/>
        <v>#DIV/0!</v>
      </c>
      <c r="F30" s="47" t="e">
        <f t="shared" si="12"/>
        <v>#DIV/0!</v>
      </c>
      <c r="G30" s="48" t="e">
        <f t="shared" si="13"/>
        <v>#VALUE!</v>
      </c>
      <c r="H30" s="48" t="e">
        <f t="shared" si="14"/>
        <v>#VALUE!</v>
      </c>
      <c r="I30" s="47" t="e">
        <f t="shared" si="15"/>
        <v>#VALUE!</v>
      </c>
      <c r="J30" s="47" t="e">
        <f t="shared" si="16"/>
        <v>#VALUE!</v>
      </c>
      <c r="K30" s="47" t="e">
        <f t="shared" si="17"/>
        <v>#VALUE!</v>
      </c>
      <c r="L30" s="49" t="e">
        <f t="shared" si="18"/>
        <v>#VALUE!</v>
      </c>
      <c r="M30" s="50" t="e">
        <f t="shared" si="19"/>
        <v>#VALUE!</v>
      </c>
      <c r="N30" s="51" t="e">
        <f t="shared" si="20"/>
        <v>#VALUE!</v>
      </c>
      <c r="O30" s="52" t="e">
        <f t="shared" si="21"/>
        <v>#VALUE!</v>
      </c>
      <c r="P30" s="28"/>
    </row>
    <row r="31" spans="1:16" x14ac:dyDescent="0.45">
      <c r="A31" s="130">
        <f>mtx_base_1!A41</f>
        <v>0</v>
      </c>
      <c r="B31" s="131" t="str">
        <f>IF(mtx_base_1!B41 = "","",mtx_base_1!B41)</f>
        <v/>
      </c>
      <c r="C31" s="132" t="str">
        <f>IF(mtx_base_1!C41 = "","",mtx_base_1!C41)</f>
        <v/>
      </c>
      <c r="D31" s="45" t="e">
        <f t="shared" si="0"/>
        <v>#DIV/0!</v>
      </c>
      <c r="E31" s="46" t="e">
        <f t="shared" si="1"/>
        <v>#DIV/0!</v>
      </c>
      <c r="F31" s="47" t="e">
        <f t="shared" si="12"/>
        <v>#DIV/0!</v>
      </c>
      <c r="G31" s="48" t="e">
        <f t="shared" si="13"/>
        <v>#VALUE!</v>
      </c>
      <c r="H31" s="48" t="e">
        <f t="shared" si="14"/>
        <v>#VALUE!</v>
      </c>
      <c r="I31" s="47" t="e">
        <f t="shared" si="15"/>
        <v>#VALUE!</v>
      </c>
      <c r="J31" s="47" t="e">
        <f t="shared" si="16"/>
        <v>#VALUE!</v>
      </c>
      <c r="K31" s="47" t="e">
        <f t="shared" si="17"/>
        <v>#VALUE!</v>
      </c>
      <c r="L31" s="49" t="e">
        <f t="shared" si="18"/>
        <v>#VALUE!</v>
      </c>
      <c r="M31" s="50" t="e">
        <f t="shared" si="19"/>
        <v>#VALUE!</v>
      </c>
      <c r="N31" s="51" t="e">
        <f t="shared" si="20"/>
        <v>#VALUE!</v>
      </c>
      <c r="O31" s="52" t="e">
        <f t="shared" si="21"/>
        <v>#VALUE!</v>
      </c>
      <c r="P31" s="28"/>
    </row>
    <row r="32" spans="1:16" x14ac:dyDescent="0.45">
      <c r="A32" s="130">
        <f>mtx_base_1!A42</f>
        <v>0</v>
      </c>
      <c r="B32" s="131" t="str">
        <f>IF(mtx_base_1!B42 = "","",mtx_base_1!B42)</f>
        <v/>
      </c>
      <c r="C32" s="132" t="str">
        <f>IF(mtx_base_1!C42 = "","",mtx_base_1!C42)</f>
        <v/>
      </c>
      <c r="D32" s="45" t="e">
        <f t="shared" si="0"/>
        <v>#DIV/0!</v>
      </c>
      <c r="E32" s="46" t="e">
        <f t="shared" si="1"/>
        <v>#DIV/0!</v>
      </c>
      <c r="F32" s="47" t="e">
        <f t="shared" si="12"/>
        <v>#DIV/0!</v>
      </c>
      <c r="G32" s="48" t="e">
        <f t="shared" si="13"/>
        <v>#VALUE!</v>
      </c>
      <c r="H32" s="48" t="e">
        <f t="shared" si="14"/>
        <v>#VALUE!</v>
      </c>
      <c r="I32" s="47" t="e">
        <f t="shared" si="15"/>
        <v>#VALUE!</v>
      </c>
      <c r="J32" s="47" t="e">
        <f t="shared" si="16"/>
        <v>#VALUE!</v>
      </c>
      <c r="K32" s="47" t="e">
        <f t="shared" si="17"/>
        <v>#VALUE!</v>
      </c>
      <c r="L32" s="49" t="e">
        <f t="shared" si="18"/>
        <v>#VALUE!</v>
      </c>
      <c r="M32" s="50" t="e">
        <f t="shared" si="19"/>
        <v>#VALUE!</v>
      </c>
      <c r="N32" s="51" t="e">
        <f t="shared" si="20"/>
        <v>#VALUE!</v>
      </c>
      <c r="O32" s="52" t="e">
        <f t="shared" si="21"/>
        <v>#VALUE!</v>
      </c>
      <c r="P32" s="28"/>
    </row>
    <row r="33" spans="1:16" x14ac:dyDescent="0.45">
      <c r="A33" s="130">
        <f>mtx_base_1!A43</f>
        <v>0</v>
      </c>
      <c r="B33" s="131" t="str">
        <f>IF(mtx_base_1!B43 = "","",mtx_base_1!B43)</f>
        <v/>
      </c>
      <c r="C33" s="132" t="str">
        <f>IF(mtx_base_1!C43 = "","",mtx_base_1!C43)</f>
        <v/>
      </c>
      <c r="D33" s="45" t="e">
        <f t="shared" si="0"/>
        <v>#DIV/0!</v>
      </c>
      <c r="E33" s="46" t="e">
        <f t="shared" si="1"/>
        <v>#DIV/0!</v>
      </c>
      <c r="F33" s="47" t="e">
        <f t="shared" si="12"/>
        <v>#DIV/0!</v>
      </c>
      <c r="G33" s="48" t="e">
        <f t="shared" si="13"/>
        <v>#VALUE!</v>
      </c>
      <c r="H33" s="48" t="e">
        <f t="shared" si="14"/>
        <v>#VALUE!</v>
      </c>
      <c r="I33" s="47" t="e">
        <f t="shared" si="15"/>
        <v>#VALUE!</v>
      </c>
      <c r="J33" s="47" t="e">
        <f t="shared" si="16"/>
        <v>#VALUE!</v>
      </c>
      <c r="K33" s="47" t="e">
        <f t="shared" si="17"/>
        <v>#VALUE!</v>
      </c>
      <c r="L33" s="49" t="e">
        <f t="shared" si="18"/>
        <v>#VALUE!</v>
      </c>
      <c r="M33" s="50" t="e">
        <f t="shared" si="19"/>
        <v>#VALUE!</v>
      </c>
      <c r="N33" s="51" t="e">
        <f t="shared" si="20"/>
        <v>#VALUE!</v>
      </c>
      <c r="O33" s="52" t="e">
        <f t="shared" si="21"/>
        <v>#VALUE!</v>
      </c>
      <c r="P33" s="28"/>
    </row>
    <row r="34" spans="1:16" x14ac:dyDescent="0.45">
      <c r="A34" s="130">
        <f>mtx_base_1!A44</f>
        <v>0</v>
      </c>
      <c r="B34" s="131" t="str">
        <f>IF(mtx_base_1!B44 = "","",mtx_base_1!B44)</f>
        <v/>
      </c>
      <c r="C34" s="132" t="str">
        <f>IF(mtx_base_1!C44 = "","",mtx_base_1!C44)</f>
        <v/>
      </c>
      <c r="D34" s="45" t="e">
        <f t="shared" si="0"/>
        <v>#DIV/0!</v>
      </c>
      <c r="E34" s="46" t="e">
        <f t="shared" si="1"/>
        <v>#DIV/0!</v>
      </c>
      <c r="F34" s="47" t="e">
        <f t="shared" ref="F34" si="22">IF(AND(B34&lt;D34,C34&lt;E34),"Blue",(IF(AND(B34&lt;D34,C34&gt;E34),"Red",(IF(AND(B34&gt;D34,C34&gt;E34),"Green",(IF(AND(B34&gt;D34,C34&lt;E34),"Yellow")))))))</f>
        <v>#DIV/0!</v>
      </c>
      <c r="G34" s="48" t="e">
        <f t="shared" ref="G34" si="23">B34-D34</f>
        <v>#VALUE!</v>
      </c>
      <c r="H34" s="48" t="e">
        <f t="shared" ref="H34" si="24">C34-E34</f>
        <v>#VALUE!</v>
      </c>
      <c r="I34" s="47" t="e">
        <f t="shared" ref="I34" si="25">IF((ABS(G34)&lt;$E$5),"TIE",F34)</f>
        <v>#VALUE!</v>
      </c>
      <c r="J34" s="47" t="e">
        <f t="shared" ref="J34" si="26">IF((ABS(H34)&lt;$F$5),"TIE",F34)</f>
        <v>#VALUE!</v>
      </c>
      <c r="K34" s="47" t="e">
        <f t="shared" ref="K34" si="27">IF(AND(I34&lt;&gt;"TIE",J34&lt;&gt;"TIE"),F34,"TIE")</f>
        <v>#VALUE!</v>
      </c>
      <c r="L34" s="49" t="e">
        <f t="shared" ref="L34" si="28">IF(AND(I34="TIE",C34&gt;E34),"Red/Green",(IF(AND(I34="TIE",C34&lt;E34),"Blue/Yellow",(IF(AND(B34&lt;D34,J34="TIE"),"Red/Blue",(IF(AND(B34&gt;D34,J34="TIE"),"Green/Yellow")))))))</f>
        <v>#VALUE!</v>
      </c>
      <c r="M34" s="50" t="e">
        <f t="shared" ref="M34" si="29">IF(AND(I34="TIE",J34="TIE"),"Four Way Tie",IF(L34=FALSE,K34,L34))</f>
        <v>#VALUE!</v>
      </c>
      <c r="N34" s="51" t="e">
        <f t="shared" ref="N34:O34" si="30">M34</f>
        <v>#VALUE!</v>
      </c>
      <c r="O34" s="52" t="e">
        <f t="shared" si="30"/>
        <v>#VALUE!</v>
      </c>
      <c r="P34" s="28"/>
    </row>
    <row r="35" spans="1:16" x14ac:dyDescent="0.45">
      <c r="A35" s="130">
        <f>mtx_base_1!A45</f>
        <v>0</v>
      </c>
      <c r="B35" s="131" t="str">
        <f>IF(mtx_base_1!B45 = "","",mtx_base_1!B45)</f>
        <v/>
      </c>
      <c r="C35" s="132" t="str">
        <f>IF(mtx_base_1!C45 = "","",mtx_base_1!C45)</f>
        <v/>
      </c>
      <c r="D35" s="45" t="e">
        <f t="shared" ref="D35:D58" si="31">$B$4</f>
        <v>#DIV/0!</v>
      </c>
      <c r="E35" s="46" t="e">
        <f t="shared" ref="E35:E58" si="32">$C$4</f>
        <v>#DIV/0!</v>
      </c>
      <c r="F35" s="47" t="e">
        <f t="shared" ref="F35:F58" si="33">IF(AND(B35&lt;D35,C35&lt;E35),"Blue",(IF(AND(B35&lt;D35,C35&gt;E35),"Red",(IF(AND(B35&gt;D35,C35&gt;E35),"Green",(IF(AND(B35&gt;D35,C35&lt;E35),"Yellow")))))))</f>
        <v>#DIV/0!</v>
      </c>
      <c r="G35" s="48" t="e">
        <f t="shared" ref="G35:H50" si="34">B35-D35</f>
        <v>#VALUE!</v>
      </c>
      <c r="H35" s="48" t="e">
        <f t="shared" si="34"/>
        <v>#VALUE!</v>
      </c>
      <c r="I35" s="47" t="e">
        <f t="shared" ref="I35:I58" si="35">IF((ABS(G35)&lt;$E$5),"TIE",F35)</f>
        <v>#VALUE!</v>
      </c>
      <c r="J35" s="47" t="e">
        <f t="shared" ref="J35:J58" si="36">IF((ABS(H35)&lt;$F$5),"TIE",F35)</f>
        <v>#VALUE!</v>
      </c>
      <c r="K35" s="47" t="e">
        <f t="shared" ref="K35:K58" si="37">IF(AND(I35&lt;&gt;"TIE",J35&lt;&gt;"TIE"),F35,"TIE")</f>
        <v>#VALUE!</v>
      </c>
      <c r="L35" s="49" t="e">
        <f t="shared" ref="L35:L58" si="38">IF(AND(I35="TIE",C35&gt;E35),"Red/Green",(IF(AND(I35="TIE",C35&lt;E35),"Blue/Yellow",(IF(AND(B35&lt;D35,J35="TIE"),"Red/Blue",(IF(AND(B35&gt;D35,J35="TIE"),"Green/Yellow")))))))</f>
        <v>#VALUE!</v>
      </c>
      <c r="M35" s="50" t="e">
        <f t="shared" ref="M35:M58" si="39">IF(AND(I35="TIE",J35="TIE"),"Four Way Tie",IF(L35=FALSE,K35,L35))</f>
        <v>#VALUE!</v>
      </c>
      <c r="N35" s="51" t="e">
        <f t="shared" ref="N35:O50" si="40">M35</f>
        <v>#VALUE!</v>
      </c>
      <c r="O35" s="52" t="e">
        <f t="shared" si="40"/>
        <v>#VALUE!</v>
      </c>
      <c r="P35" s="28"/>
    </row>
    <row r="36" spans="1:16" x14ac:dyDescent="0.45">
      <c r="A36" s="130">
        <f>mtx_base_1!A46</f>
        <v>0</v>
      </c>
      <c r="B36" s="131" t="str">
        <f>IF(mtx_base_1!B46 = "","",mtx_base_1!B46)</f>
        <v/>
      </c>
      <c r="C36" s="132" t="str">
        <f>IF(mtx_base_1!C46 = "","",mtx_base_1!C46)</f>
        <v/>
      </c>
      <c r="D36" s="45" t="e">
        <f t="shared" si="31"/>
        <v>#DIV/0!</v>
      </c>
      <c r="E36" s="46" t="e">
        <f t="shared" si="32"/>
        <v>#DIV/0!</v>
      </c>
      <c r="F36" s="47" t="e">
        <f t="shared" si="33"/>
        <v>#DIV/0!</v>
      </c>
      <c r="G36" s="48" t="e">
        <f t="shared" si="34"/>
        <v>#VALUE!</v>
      </c>
      <c r="H36" s="48" t="e">
        <f t="shared" si="34"/>
        <v>#VALUE!</v>
      </c>
      <c r="I36" s="47" t="e">
        <f t="shared" si="35"/>
        <v>#VALUE!</v>
      </c>
      <c r="J36" s="47" t="e">
        <f t="shared" si="36"/>
        <v>#VALUE!</v>
      </c>
      <c r="K36" s="47" t="e">
        <f t="shared" si="37"/>
        <v>#VALUE!</v>
      </c>
      <c r="L36" s="49" t="e">
        <f t="shared" si="38"/>
        <v>#VALUE!</v>
      </c>
      <c r="M36" s="50" t="e">
        <f t="shared" si="39"/>
        <v>#VALUE!</v>
      </c>
      <c r="N36" s="51" t="e">
        <f t="shared" si="40"/>
        <v>#VALUE!</v>
      </c>
      <c r="O36" s="52" t="e">
        <f t="shared" si="40"/>
        <v>#VALUE!</v>
      </c>
      <c r="P36" s="28"/>
    </row>
    <row r="37" spans="1:16" x14ac:dyDescent="0.45">
      <c r="A37" s="130">
        <f>mtx_base_1!A47</f>
        <v>0</v>
      </c>
      <c r="B37" s="131" t="str">
        <f>IF(mtx_base_1!B47 = "","",mtx_base_1!B47)</f>
        <v/>
      </c>
      <c r="C37" s="132" t="str">
        <f>IF(mtx_base_1!C47 = "","",mtx_base_1!C47)</f>
        <v/>
      </c>
      <c r="D37" s="45" t="e">
        <f t="shared" si="31"/>
        <v>#DIV/0!</v>
      </c>
      <c r="E37" s="46" t="e">
        <f t="shared" si="32"/>
        <v>#DIV/0!</v>
      </c>
      <c r="F37" s="47" t="e">
        <f t="shared" si="33"/>
        <v>#DIV/0!</v>
      </c>
      <c r="G37" s="48" t="e">
        <f t="shared" si="34"/>
        <v>#VALUE!</v>
      </c>
      <c r="H37" s="48" t="e">
        <f t="shared" si="34"/>
        <v>#VALUE!</v>
      </c>
      <c r="I37" s="47" t="e">
        <f t="shared" si="35"/>
        <v>#VALUE!</v>
      </c>
      <c r="J37" s="47" t="e">
        <f t="shared" si="36"/>
        <v>#VALUE!</v>
      </c>
      <c r="K37" s="47" t="e">
        <f t="shared" si="37"/>
        <v>#VALUE!</v>
      </c>
      <c r="L37" s="49" t="e">
        <f t="shared" si="38"/>
        <v>#VALUE!</v>
      </c>
      <c r="M37" s="50" t="e">
        <f t="shared" si="39"/>
        <v>#VALUE!</v>
      </c>
      <c r="N37" s="51" t="e">
        <f t="shared" si="40"/>
        <v>#VALUE!</v>
      </c>
      <c r="O37" s="52" t="e">
        <f t="shared" si="40"/>
        <v>#VALUE!</v>
      </c>
      <c r="P37" s="28"/>
    </row>
    <row r="38" spans="1:16" x14ac:dyDescent="0.45">
      <c r="A38" s="130">
        <f>mtx_base_1!A48</f>
        <v>0</v>
      </c>
      <c r="B38" s="131" t="str">
        <f>IF(mtx_base_1!B48 = "","",mtx_base_1!B48)</f>
        <v/>
      </c>
      <c r="C38" s="132" t="str">
        <f>IF(mtx_base_1!C48 = "","",mtx_base_1!C48)</f>
        <v/>
      </c>
      <c r="D38" s="45" t="e">
        <f t="shared" si="31"/>
        <v>#DIV/0!</v>
      </c>
      <c r="E38" s="46" t="e">
        <f t="shared" si="32"/>
        <v>#DIV/0!</v>
      </c>
      <c r="F38" s="47" t="e">
        <f t="shared" si="33"/>
        <v>#DIV/0!</v>
      </c>
      <c r="G38" s="48" t="e">
        <f t="shared" si="34"/>
        <v>#VALUE!</v>
      </c>
      <c r="H38" s="48" t="e">
        <f t="shared" si="34"/>
        <v>#VALUE!</v>
      </c>
      <c r="I38" s="47" t="e">
        <f t="shared" si="35"/>
        <v>#VALUE!</v>
      </c>
      <c r="J38" s="47" t="e">
        <f t="shared" si="36"/>
        <v>#VALUE!</v>
      </c>
      <c r="K38" s="47" t="e">
        <f t="shared" si="37"/>
        <v>#VALUE!</v>
      </c>
      <c r="L38" s="49" t="e">
        <f t="shared" si="38"/>
        <v>#VALUE!</v>
      </c>
      <c r="M38" s="50" t="e">
        <f t="shared" si="39"/>
        <v>#VALUE!</v>
      </c>
      <c r="N38" s="51" t="e">
        <f t="shared" si="40"/>
        <v>#VALUE!</v>
      </c>
      <c r="O38" s="52" t="e">
        <f t="shared" si="40"/>
        <v>#VALUE!</v>
      </c>
      <c r="P38" s="28"/>
    </row>
    <row r="39" spans="1:16" x14ac:dyDescent="0.45">
      <c r="A39" s="130">
        <f>mtx_base_1!A49</f>
        <v>0</v>
      </c>
      <c r="B39" s="131" t="str">
        <f>IF(mtx_base_1!B49 = "","",mtx_base_1!B49)</f>
        <v/>
      </c>
      <c r="C39" s="132" t="str">
        <f>IF(mtx_base_1!C49 = "","",mtx_base_1!C49)</f>
        <v/>
      </c>
      <c r="D39" s="45" t="e">
        <f t="shared" si="31"/>
        <v>#DIV/0!</v>
      </c>
      <c r="E39" s="46" t="e">
        <f t="shared" si="32"/>
        <v>#DIV/0!</v>
      </c>
      <c r="F39" s="47" t="e">
        <f t="shared" si="33"/>
        <v>#DIV/0!</v>
      </c>
      <c r="G39" s="48" t="e">
        <f t="shared" si="34"/>
        <v>#VALUE!</v>
      </c>
      <c r="H39" s="48" t="e">
        <f t="shared" si="34"/>
        <v>#VALUE!</v>
      </c>
      <c r="I39" s="47" t="e">
        <f t="shared" si="35"/>
        <v>#VALUE!</v>
      </c>
      <c r="J39" s="47" t="e">
        <f t="shared" si="36"/>
        <v>#VALUE!</v>
      </c>
      <c r="K39" s="47" t="e">
        <f t="shared" si="37"/>
        <v>#VALUE!</v>
      </c>
      <c r="L39" s="49" t="e">
        <f t="shared" si="38"/>
        <v>#VALUE!</v>
      </c>
      <c r="M39" s="50" t="e">
        <f t="shared" si="39"/>
        <v>#VALUE!</v>
      </c>
      <c r="N39" s="51" t="e">
        <f t="shared" si="40"/>
        <v>#VALUE!</v>
      </c>
      <c r="O39" s="52" t="e">
        <f t="shared" si="40"/>
        <v>#VALUE!</v>
      </c>
      <c r="P39" s="28"/>
    </row>
    <row r="40" spans="1:16" x14ac:dyDescent="0.45">
      <c r="A40" s="130">
        <f>mtx_base_1!A50</f>
        <v>0</v>
      </c>
      <c r="B40" s="131" t="str">
        <f>IF(mtx_base_1!B50 = "","",mtx_base_1!B50)</f>
        <v/>
      </c>
      <c r="C40" s="132" t="str">
        <f>IF(mtx_base_1!C50 = "","",mtx_base_1!C50)</f>
        <v/>
      </c>
      <c r="D40" s="45" t="e">
        <f t="shared" si="31"/>
        <v>#DIV/0!</v>
      </c>
      <c r="E40" s="46" t="e">
        <f t="shared" si="32"/>
        <v>#DIV/0!</v>
      </c>
      <c r="F40" s="47" t="e">
        <f t="shared" si="33"/>
        <v>#DIV/0!</v>
      </c>
      <c r="G40" s="48" t="e">
        <f t="shared" si="34"/>
        <v>#VALUE!</v>
      </c>
      <c r="H40" s="48" t="e">
        <f t="shared" si="34"/>
        <v>#VALUE!</v>
      </c>
      <c r="I40" s="47" t="e">
        <f t="shared" si="35"/>
        <v>#VALUE!</v>
      </c>
      <c r="J40" s="47" t="e">
        <f t="shared" si="36"/>
        <v>#VALUE!</v>
      </c>
      <c r="K40" s="47" t="e">
        <f t="shared" si="37"/>
        <v>#VALUE!</v>
      </c>
      <c r="L40" s="49" t="e">
        <f t="shared" si="38"/>
        <v>#VALUE!</v>
      </c>
      <c r="M40" s="50" t="e">
        <f t="shared" si="39"/>
        <v>#VALUE!</v>
      </c>
      <c r="N40" s="51" t="e">
        <f t="shared" si="40"/>
        <v>#VALUE!</v>
      </c>
      <c r="O40" s="52" t="e">
        <f t="shared" si="40"/>
        <v>#VALUE!</v>
      </c>
      <c r="P40" s="28"/>
    </row>
    <row r="41" spans="1:16" x14ac:dyDescent="0.45">
      <c r="A41" s="130">
        <f>mtx_base_1!A51</f>
        <v>0</v>
      </c>
      <c r="B41" s="131" t="str">
        <f>IF(mtx_base_1!B51 = "","",mtx_base_1!B51)</f>
        <v/>
      </c>
      <c r="C41" s="132" t="str">
        <f>IF(mtx_base_1!C51 = "","",mtx_base_1!C51)</f>
        <v/>
      </c>
      <c r="D41" s="45" t="e">
        <f t="shared" si="31"/>
        <v>#DIV/0!</v>
      </c>
      <c r="E41" s="46" t="e">
        <f t="shared" si="32"/>
        <v>#DIV/0!</v>
      </c>
      <c r="F41" s="47" t="e">
        <f t="shared" si="33"/>
        <v>#DIV/0!</v>
      </c>
      <c r="G41" s="48" t="e">
        <f t="shared" si="34"/>
        <v>#VALUE!</v>
      </c>
      <c r="H41" s="48" t="e">
        <f t="shared" si="34"/>
        <v>#VALUE!</v>
      </c>
      <c r="I41" s="47" t="e">
        <f t="shared" si="35"/>
        <v>#VALUE!</v>
      </c>
      <c r="J41" s="47" t="e">
        <f t="shared" si="36"/>
        <v>#VALUE!</v>
      </c>
      <c r="K41" s="47" t="e">
        <f t="shared" si="37"/>
        <v>#VALUE!</v>
      </c>
      <c r="L41" s="49" t="e">
        <f t="shared" si="38"/>
        <v>#VALUE!</v>
      </c>
      <c r="M41" s="50" t="e">
        <f t="shared" si="39"/>
        <v>#VALUE!</v>
      </c>
      <c r="N41" s="51" t="e">
        <f t="shared" si="40"/>
        <v>#VALUE!</v>
      </c>
      <c r="O41" s="52" t="e">
        <f t="shared" si="40"/>
        <v>#VALUE!</v>
      </c>
      <c r="P41" s="28"/>
    </row>
    <row r="42" spans="1:16" x14ac:dyDescent="0.45">
      <c r="A42" s="130">
        <f>mtx_base_1!A52</f>
        <v>0</v>
      </c>
      <c r="B42" s="131" t="str">
        <f>IF(mtx_base_1!B52 = "","",mtx_base_1!B52)</f>
        <v/>
      </c>
      <c r="C42" s="132" t="str">
        <f>IF(mtx_base_1!C52 = "","",mtx_base_1!C52)</f>
        <v/>
      </c>
      <c r="D42" s="45" t="e">
        <f t="shared" si="31"/>
        <v>#DIV/0!</v>
      </c>
      <c r="E42" s="46" t="e">
        <f t="shared" si="32"/>
        <v>#DIV/0!</v>
      </c>
      <c r="F42" s="47" t="e">
        <f>IF(AND(B42&lt;D42,C42&lt;E42),"Blue",(IF(AND(B42&lt;D42,C42&gt;E42),"Red",(IF(AND(B42&gt;D42,C42&gt;E42),"Green",(IF(AND(B42&gt;D42,C42&lt;E42),"Yellow")))))))</f>
        <v>#DIV/0!</v>
      </c>
      <c r="G42" s="48" t="e">
        <f>B42-D42</f>
        <v>#VALUE!</v>
      </c>
      <c r="H42" s="48" t="e">
        <f>C42-E42</f>
        <v>#VALUE!</v>
      </c>
      <c r="I42" s="47" t="e">
        <f>IF((ABS(G42)&lt;$E$5),"TIE",F42)</f>
        <v>#VALUE!</v>
      </c>
      <c r="J42" s="47" t="e">
        <f>IF((ABS(H42)&lt;$F$5),"TIE",F42)</f>
        <v>#VALUE!</v>
      </c>
      <c r="K42" s="47" t="e">
        <f>IF(AND(I42&lt;&gt;"TIE",J42&lt;&gt;"TIE"),F42,"TIE")</f>
        <v>#VALUE!</v>
      </c>
      <c r="L42" s="49" t="e">
        <f>IF(AND(I42="TIE",C42&gt;E42),"Red/Green",(IF(AND(I42="TIE",C42&lt;E42),"Blue/Yellow",(IF(AND(B42&lt;D42,J42="TIE"),"Red/Blue",(IF(AND(B42&gt;D42,J42="TIE"),"Green/Yellow")))))))</f>
        <v>#VALUE!</v>
      </c>
      <c r="M42" s="50" t="e">
        <f>IF(AND(I42="TIE",J42="TIE"),"Four Way Tie",IF(L42=FALSE,K42,L42))</f>
        <v>#VALUE!</v>
      </c>
      <c r="N42" s="51" t="e">
        <f t="shared" si="40"/>
        <v>#VALUE!</v>
      </c>
      <c r="O42" s="52" t="e">
        <f t="shared" si="40"/>
        <v>#VALUE!</v>
      </c>
      <c r="P42" s="28"/>
    </row>
    <row r="43" spans="1:16" x14ac:dyDescent="0.45">
      <c r="A43" s="130">
        <f>mtx_base_1!A53</f>
        <v>0</v>
      </c>
      <c r="B43" s="131" t="str">
        <f>IF(mtx_base_1!B53 = "","",mtx_base_1!B53)</f>
        <v/>
      </c>
      <c r="C43" s="132" t="str">
        <f>IF(mtx_base_1!C53 = "","",mtx_base_1!C53)</f>
        <v/>
      </c>
      <c r="D43" s="45" t="e">
        <f t="shared" si="31"/>
        <v>#DIV/0!</v>
      </c>
      <c r="E43" s="46" t="e">
        <f t="shared" si="32"/>
        <v>#DIV/0!</v>
      </c>
      <c r="F43" s="47" t="e">
        <f t="shared" si="33"/>
        <v>#DIV/0!</v>
      </c>
      <c r="G43" s="48" t="e">
        <f t="shared" si="34"/>
        <v>#VALUE!</v>
      </c>
      <c r="H43" s="48" t="e">
        <f t="shared" si="34"/>
        <v>#VALUE!</v>
      </c>
      <c r="I43" s="47" t="e">
        <f t="shared" si="35"/>
        <v>#VALUE!</v>
      </c>
      <c r="J43" s="47" t="e">
        <f t="shared" si="36"/>
        <v>#VALUE!</v>
      </c>
      <c r="K43" s="47" t="e">
        <f t="shared" si="37"/>
        <v>#VALUE!</v>
      </c>
      <c r="L43" s="49" t="e">
        <f t="shared" si="38"/>
        <v>#VALUE!</v>
      </c>
      <c r="M43" s="50" t="e">
        <f t="shared" si="39"/>
        <v>#VALUE!</v>
      </c>
      <c r="N43" s="51" t="e">
        <f t="shared" si="40"/>
        <v>#VALUE!</v>
      </c>
      <c r="O43" s="52" t="e">
        <f t="shared" si="40"/>
        <v>#VALUE!</v>
      </c>
      <c r="P43" s="28"/>
    </row>
    <row r="44" spans="1:16" x14ac:dyDescent="0.45">
      <c r="A44" s="130">
        <f>mtx_base_1!A54</f>
        <v>0</v>
      </c>
      <c r="B44" s="131" t="str">
        <f>IF(mtx_base_1!B54 = "","",mtx_base_1!B54)</f>
        <v/>
      </c>
      <c r="C44" s="132" t="str">
        <f>IF(mtx_base_1!C54 = "","",mtx_base_1!C54)</f>
        <v/>
      </c>
      <c r="D44" s="45" t="e">
        <f t="shared" si="31"/>
        <v>#DIV/0!</v>
      </c>
      <c r="E44" s="46" t="e">
        <f t="shared" si="32"/>
        <v>#DIV/0!</v>
      </c>
      <c r="F44" s="47" t="e">
        <f t="shared" si="33"/>
        <v>#DIV/0!</v>
      </c>
      <c r="G44" s="48" t="e">
        <f t="shared" si="34"/>
        <v>#VALUE!</v>
      </c>
      <c r="H44" s="48" t="e">
        <f t="shared" si="34"/>
        <v>#VALUE!</v>
      </c>
      <c r="I44" s="47" t="e">
        <f t="shared" si="35"/>
        <v>#VALUE!</v>
      </c>
      <c r="J44" s="47" t="e">
        <f t="shared" si="36"/>
        <v>#VALUE!</v>
      </c>
      <c r="K44" s="47" t="e">
        <f t="shared" si="37"/>
        <v>#VALUE!</v>
      </c>
      <c r="L44" s="49" t="e">
        <f t="shared" si="38"/>
        <v>#VALUE!</v>
      </c>
      <c r="M44" s="50" t="e">
        <f t="shared" si="39"/>
        <v>#VALUE!</v>
      </c>
      <c r="N44" s="51" t="e">
        <f t="shared" si="40"/>
        <v>#VALUE!</v>
      </c>
      <c r="O44" s="52" t="e">
        <f t="shared" si="40"/>
        <v>#VALUE!</v>
      </c>
      <c r="P44" s="28"/>
    </row>
    <row r="45" spans="1:16" x14ac:dyDescent="0.45">
      <c r="A45" s="130">
        <f>mtx_base_1!A55</f>
        <v>0</v>
      </c>
      <c r="B45" s="131" t="str">
        <f>IF(mtx_base_1!B55 = "","",mtx_base_1!B55)</f>
        <v/>
      </c>
      <c r="C45" s="132" t="str">
        <f>IF(mtx_base_1!C55 = "","",mtx_base_1!C55)</f>
        <v/>
      </c>
      <c r="D45" s="45" t="e">
        <f t="shared" si="31"/>
        <v>#DIV/0!</v>
      </c>
      <c r="E45" s="46" t="e">
        <f t="shared" si="32"/>
        <v>#DIV/0!</v>
      </c>
      <c r="F45" s="47" t="e">
        <f t="shared" si="33"/>
        <v>#DIV/0!</v>
      </c>
      <c r="G45" s="48" t="e">
        <f t="shared" si="34"/>
        <v>#VALUE!</v>
      </c>
      <c r="H45" s="48" t="e">
        <f t="shared" si="34"/>
        <v>#VALUE!</v>
      </c>
      <c r="I45" s="47" t="e">
        <f t="shared" si="35"/>
        <v>#VALUE!</v>
      </c>
      <c r="J45" s="47" t="e">
        <f t="shared" si="36"/>
        <v>#VALUE!</v>
      </c>
      <c r="K45" s="47" t="e">
        <f t="shared" si="37"/>
        <v>#VALUE!</v>
      </c>
      <c r="L45" s="49" t="e">
        <f t="shared" si="38"/>
        <v>#VALUE!</v>
      </c>
      <c r="M45" s="50" t="e">
        <f t="shared" si="39"/>
        <v>#VALUE!</v>
      </c>
      <c r="N45" s="51" t="e">
        <f t="shared" si="40"/>
        <v>#VALUE!</v>
      </c>
      <c r="O45" s="52" t="e">
        <f t="shared" si="40"/>
        <v>#VALUE!</v>
      </c>
      <c r="P45" s="28"/>
    </row>
    <row r="46" spans="1:16" x14ac:dyDescent="0.45">
      <c r="A46" s="130">
        <f>mtx_base_1!A56</f>
        <v>0</v>
      </c>
      <c r="B46" s="131" t="str">
        <f>IF(mtx_base_1!B56 = "","",mtx_base_1!B56)</f>
        <v/>
      </c>
      <c r="C46" s="132" t="str">
        <f>IF(mtx_base_1!C56 = "","",mtx_base_1!C56)</f>
        <v/>
      </c>
      <c r="D46" s="45" t="e">
        <f t="shared" si="31"/>
        <v>#DIV/0!</v>
      </c>
      <c r="E46" s="46" t="e">
        <f t="shared" si="32"/>
        <v>#DIV/0!</v>
      </c>
      <c r="F46" s="47" t="e">
        <f t="shared" si="33"/>
        <v>#DIV/0!</v>
      </c>
      <c r="G46" s="48" t="e">
        <f t="shared" si="34"/>
        <v>#VALUE!</v>
      </c>
      <c r="H46" s="48" t="e">
        <f t="shared" si="34"/>
        <v>#VALUE!</v>
      </c>
      <c r="I46" s="47" t="e">
        <f t="shared" si="35"/>
        <v>#VALUE!</v>
      </c>
      <c r="J46" s="47" t="e">
        <f t="shared" si="36"/>
        <v>#VALUE!</v>
      </c>
      <c r="K46" s="47" t="e">
        <f t="shared" si="37"/>
        <v>#VALUE!</v>
      </c>
      <c r="L46" s="49" t="e">
        <f t="shared" si="38"/>
        <v>#VALUE!</v>
      </c>
      <c r="M46" s="50" t="e">
        <f t="shared" si="39"/>
        <v>#VALUE!</v>
      </c>
      <c r="N46" s="51" t="e">
        <f t="shared" si="40"/>
        <v>#VALUE!</v>
      </c>
      <c r="O46" s="52" t="e">
        <f t="shared" si="40"/>
        <v>#VALUE!</v>
      </c>
      <c r="P46" s="28"/>
    </row>
    <row r="47" spans="1:16" x14ac:dyDescent="0.45">
      <c r="A47" s="130">
        <f>mtx_base_1!A57</f>
        <v>0</v>
      </c>
      <c r="B47" s="131" t="str">
        <f>IF(mtx_base_1!B57 = "","",mtx_base_1!B57)</f>
        <v/>
      </c>
      <c r="C47" s="132" t="str">
        <f>IF(mtx_base_1!C57 = "","",mtx_base_1!C57)</f>
        <v/>
      </c>
      <c r="D47" s="45" t="e">
        <f t="shared" si="31"/>
        <v>#DIV/0!</v>
      </c>
      <c r="E47" s="46" t="e">
        <f t="shared" si="32"/>
        <v>#DIV/0!</v>
      </c>
      <c r="F47" s="47" t="e">
        <f t="shared" si="33"/>
        <v>#DIV/0!</v>
      </c>
      <c r="G47" s="48" t="e">
        <f t="shared" si="34"/>
        <v>#VALUE!</v>
      </c>
      <c r="H47" s="48" t="e">
        <f t="shared" si="34"/>
        <v>#VALUE!</v>
      </c>
      <c r="I47" s="47" t="e">
        <f t="shared" si="35"/>
        <v>#VALUE!</v>
      </c>
      <c r="J47" s="47" t="e">
        <f t="shared" si="36"/>
        <v>#VALUE!</v>
      </c>
      <c r="K47" s="47" t="e">
        <f t="shared" si="37"/>
        <v>#VALUE!</v>
      </c>
      <c r="L47" s="49" t="e">
        <f t="shared" si="38"/>
        <v>#VALUE!</v>
      </c>
      <c r="M47" s="50" t="e">
        <f t="shared" si="39"/>
        <v>#VALUE!</v>
      </c>
      <c r="N47" s="51" t="e">
        <f t="shared" si="40"/>
        <v>#VALUE!</v>
      </c>
      <c r="O47" s="52" t="e">
        <f t="shared" si="40"/>
        <v>#VALUE!</v>
      </c>
      <c r="P47" s="28"/>
    </row>
    <row r="48" spans="1:16" x14ac:dyDescent="0.45">
      <c r="A48" s="130">
        <f>mtx_base_1!A58</f>
        <v>0</v>
      </c>
      <c r="B48" s="131" t="str">
        <f>IF(mtx_base_1!B58 = "","",mtx_base_1!B58)</f>
        <v/>
      </c>
      <c r="C48" s="132" t="str">
        <f>IF(mtx_base_1!C58 = "","",mtx_base_1!C58)</f>
        <v/>
      </c>
      <c r="D48" s="45" t="e">
        <f t="shared" si="31"/>
        <v>#DIV/0!</v>
      </c>
      <c r="E48" s="46" t="e">
        <f t="shared" si="32"/>
        <v>#DIV/0!</v>
      </c>
      <c r="F48" s="47" t="e">
        <f t="shared" si="33"/>
        <v>#DIV/0!</v>
      </c>
      <c r="G48" s="48" t="e">
        <f t="shared" si="34"/>
        <v>#VALUE!</v>
      </c>
      <c r="H48" s="48" t="e">
        <f t="shared" si="34"/>
        <v>#VALUE!</v>
      </c>
      <c r="I48" s="47" t="e">
        <f t="shared" si="35"/>
        <v>#VALUE!</v>
      </c>
      <c r="J48" s="47" t="e">
        <f t="shared" si="36"/>
        <v>#VALUE!</v>
      </c>
      <c r="K48" s="47" t="e">
        <f t="shared" si="37"/>
        <v>#VALUE!</v>
      </c>
      <c r="L48" s="49" t="e">
        <f t="shared" si="38"/>
        <v>#VALUE!</v>
      </c>
      <c r="M48" s="50" t="e">
        <f t="shared" si="39"/>
        <v>#VALUE!</v>
      </c>
      <c r="N48" s="51" t="e">
        <f t="shared" si="40"/>
        <v>#VALUE!</v>
      </c>
      <c r="O48" s="52" t="e">
        <f t="shared" si="40"/>
        <v>#VALUE!</v>
      </c>
      <c r="P48" s="28"/>
    </row>
    <row r="49" spans="1:16" x14ac:dyDescent="0.45">
      <c r="A49" s="130">
        <f>mtx_base_1!A59</f>
        <v>0</v>
      </c>
      <c r="B49" s="131" t="str">
        <f>IF(mtx_base_1!B59 = "","",mtx_base_1!B59)</f>
        <v/>
      </c>
      <c r="C49" s="132" t="str">
        <f>IF(mtx_base_1!C59 = "","",mtx_base_1!C59)</f>
        <v/>
      </c>
      <c r="D49" s="45" t="e">
        <f t="shared" si="31"/>
        <v>#DIV/0!</v>
      </c>
      <c r="E49" s="46" t="e">
        <f t="shared" si="32"/>
        <v>#DIV/0!</v>
      </c>
      <c r="F49" s="47" t="e">
        <f t="shared" si="33"/>
        <v>#DIV/0!</v>
      </c>
      <c r="G49" s="48" t="e">
        <f t="shared" si="34"/>
        <v>#VALUE!</v>
      </c>
      <c r="H49" s="48" t="e">
        <f t="shared" si="34"/>
        <v>#VALUE!</v>
      </c>
      <c r="I49" s="47" t="e">
        <f t="shared" si="35"/>
        <v>#VALUE!</v>
      </c>
      <c r="J49" s="47" t="e">
        <f t="shared" si="36"/>
        <v>#VALUE!</v>
      </c>
      <c r="K49" s="47" t="e">
        <f t="shared" si="37"/>
        <v>#VALUE!</v>
      </c>
      <c r="L49" s="49" t="e">
        <f t="shared" si="38"/>
        <v>#VALUE!</v>
      </c>
      <c r="M49" s="50" t="e">
        <f t="shared" si="39"/>
        <v>#VALUE!</v>
      </c>
      <c r="N49" s="51" t="e">
        <f t="shared" si="40"/>
        <v>#VALUE!</v>
      </c>
      <c r="O49" s="52" t="e">
        <f t="shared" si="40"/>
        <v>#VALUE!</v>
      </c>
      <c r="P49" s="28"/>
    </row>
    <row r="50" spans="1:16" x14ac:dyDescent="0.45">
      <c r="A50" s="130">
        <f>mtx_base_1!A60</f>
        <v>0</v>
      </c>
      <c r="B50" s="131" t="str">
        <f>IF(mtx_base_1!B60 = "","",mtx_base_1!B60)</f>
        <v/>
      </c>
      <c r="C50" s="132" t="str">
        <f>IF(mtx_base_1!C60 = "","",mtx_base_1!C60)</f>
        <v/>
      </c>
      <c r="D50" s="45" t="e">
        <f t="shared" si="31"/>
        <v>#DIV/0!</v>
      </c>
      <c r="E50" s="46" t="e">
        <f t="shared" si="32"/>
        <v>#DIV/0!</v>
      </c>
      <c r="F50" s="47" t="e">
        <f t="shared" si="33"/>
        <v>#DIV/0!</v>
      </c>
      <c r="G50" s="48" t="e">
        <f t="shared" si="34"/>
        <v>#VALUE!</v>
      </c>
      <c r="H50" s="48" t="e">
        <f t="shared" si="34"/>
        <v>#VALUE!</v>
      </c>
      <c r="I50" s="47" t="e">
        <f t="shared" si="35"/>
        <v>#VALUE!</v>
      </c>
      <c r="J50" s="47" t="e">
        <f t="shared" si="36"/>
        <v>#VALUE!</v>
      </c>
      <c r="K50" s="47" t="e">
        <f t="shared" si="37"/>
        <v>#VALUE!</v>
      </c>
      <c r="L50" s="49" t="e">
        <f t="shared" si="38"/>
        <v>#VALUE!</v>
      </c>
      <c r="M50" s="50" t="e">
        <f t="shared" si="39"/>
        <v>#VALUE!</v>
      </c>
      <c r="N50" s="51" t="e">
        <f t="shared" si="40"/>
        <v>#VALUE!</v>
      </c>
      <c r="O50" s="52" t="e">
        <f t="shared" si="40"/>
        <v>#VALUE!</v>
      </c>
      <c r="P50" s="28"/>
    </row>
    <row r="51" spans="1:16" x14ac:dyDescent="0.45">
      <c r="A51" s="130">
        <f>mtx_base_1!A61</f>
        <v>0</v>
      </c>
      <c r="B51" s="131" t="str">
        <f>IF(mtx_base_1!B61 = "","",mtx_base_1!B61)</f>
        <v/>
      </c>
      <c r="C51" s="132" t="str">
        <f>IF(mtx_base_1!C61 = "","",mtx_base_1!C61)</f>
        <v/>
      </c>
      <c r="D51" s="54" t="e">
        <f t="shared" si="31"/>
        <v>#DIV/0!</v>
      </c>
      <c r="E51" s="55" t="e">
        <f t="shared" si="32"/>
        <v>#DIV/0!</v>
      </c>
      <c r="F51" s="56" t="e">
        <f t="shared" si="33"/>
        <v>#DIV/0!</v>
      </c>
      <c r="G51" s="57" t="e">
        <f t="shared" ref="G51:H58" si="41">B51-D51</f>
        <v>#VALUE!</v>
      </c>
      <c r="H51" s="57" t="e">
        <f t="shared" si="41"/>
        <v>#VALUE!</v>
      </c>
      <c r="I51" s="47" t="e">
        <f t="shared" si="35"/>
        <v>#VALUE!</v>
      </c>
      <c r="J51" s="47" t="e">
        <f t="shared" si="36"/>
        <v>#VALUE!</v>
      </c>
      <c r="K51" s="56" t="e">
        <f t="shared" si="37"/>
        <v>#VALUE!</v>
      </c>
      <c r="L51" s="58" t="e">
        <f t="shared" si="38"/>
        <v>#VALUE!</v>
      </c>
      <c r="M51" s="53" t="e">
        <f t="shared" si="39"/>
        <v>#VALUE!</v>
      </c>
      <c r="N51" s="59" t="e">
        <f t="shared" ref="N51:O58" si="42">M51</f>
        <v>#VALUE!</v>
      </c>
      <c r="O51" s="52" t="e">
        <f t="shared" si="42"/>
        <v>#VALUE!</v>
      </c>
      <c r="P51" s="28"/>
    </row>
    <row r="52" spans="1:16" x14ac:dyDescent="0.45">
      <c r="A52" s="130">
        <f>mtx_base_1!A62</f>
        <v>0</v>
      </c>
      <c r="B52" s="131" t="str">
        <f>IF(mtx_base_1!B62 = "","",mtx_base_1!B62)</f>
        <v/>
      </c>
      <c r="C52" s="132" t="str">
        <f>IF(mtx_base_1!C62 = "","",mtx_base_1!C62)</f>
        <v/>
      </c>
      <c r="D52" s="54" t="e">
        <f t="shared" si="31"/>
        <v>#DIV/0!</v>
      </c>
      <c r="E52" s="55" t="e">
        <f t="shared" si="32"/>
        <v>#DIV/0!</v>
      </c>
      <c r="F52" s="56" t="e">
        <f t="shared" si="33"/>
        <v>#DIV/0!</v>
      </c>
      <c r="G52" s="57" t="e">
        <f t="shared" si="41"/>
        <v>#VALUE!</v>
      </c>
      <c r="H52" s="57" t="e">
        <f t="shared" si="41"/>
        <v>#VALUE!</v>
      </c>
      <c r="I52" s="47" t="e">
        <f t="shared" si="35"/>
        <v>#VALUE!</v>
      </c>
      <c r="J52" s="47" t="e">
        <f t="shared" si="36"/>
        <v>#VALUE!</v>
      </c>
      <c r="K52" s="56" t="e">
        <f t="shared" si="37"/>
        <v>#VALUE!</v>
      </c>
      <c r="L52" s="58" t="e">
        <f t="shared" si="38"/>
        <v>#VALUE!</v>
      </c>
      <c r="M52" s="53" t="e">
        <f t="shared" si="39"/>
        <v>#VALUE!</v>
      </c>
      <c r="N52" s="59" t="e">
        <f t="shared" si="42"/>
        <v>#VALUE!</v>
      </c>
      <c r="O52" s="52" t="e">
        <f t="shared" si="42"/>
        <v>#VALUE!</v>
      </c>
      <c r="P52" s="28"/>
    </row>
    <row r="53" spans="1:16" x14ac:dyDescent="0.45">
      <c r="A53" s="130">
        <f>mtx_base_1!A63</f>
        <v>0</v>
      </c>
      <c r="B53" s="131" t="str">
        <f>IF(mtx_base_1!B63 = "","",mtx_base_1!B63)</f>
        <v/>
      </c>
      <c r="C53" s="132" t="str">
        <f>IF(mtx_base_1!C63 = "","",mtx_base_1!C63)</f>
        <v/>
      </c>
      <c r="D53" s="54" t="e">
        <f t="shared" si="31"/>
        <v>#DIV/0!</v>
      </c>
      <c r="E53" s="55" t="e">
        <f t="shared" si="32"/>
        <v>#DIV/0!</v>
      </c>
      <c r="F53" s="56" t="e">
        <f t="shared" si="33"/>
        <v>#DIV/0!</v>
      </c>
      <c r="G53" s="57" t="e">
        <f t="shared" si="41"/>
        <v>#VALUE!</v>
      </c>
      <c r="H53" s="57" t="e">
        <f t="shared" si="41"/>
        <v>#VALUE!</v>
      </c>
      <c r="I53" s="47" t="e">
        <f t="shared" si="35"/>
        <v>#VALUE!</v>
      </c>
      <c r="J53" s="47" t="e">
        <f t="shared" si="36"/>
        <v>#VALUE!</v>
      </c>
      <c r="K53" s="56" t="e">
        <f t="shared" si="37"/>
        <v>#VALUE!</v>
      </c>
      <c r="L53" s="58" t="e">
        <f t="shared" si="38"/>
        <v>#VALUE!</v>
      </c>
      <c r="M53" s="53" t="e">
        <f t="shared" si="39"/>
        <v>#VALUE!</v>
      </c>
      <c r="N53" s="59" t="e">
        <f t="shared" si="42"/>
        <v>#VALUE!</v>
      </c>
      <c r="O53" s="52" t="e">
        <f t="shared" si="42"/>
        <v>#VALUE!</v>
      </c>
      <c r="P53" s="28"/>
    </row>
    <row r="54" spans="1:16" x14ac:dyDescent="0.45">
      <c r="A54" s="130">
        <f>mtx_base_1!A64</f>
        <v>0</v>
      </c>
      <c r="B54" s="131" t="str">
        <f>IF(mtx_base_1!B64 = "","",mtx_base_1!B64)</f>
        <v/>
      </c>
      <c r="C54" s="132" t="str">
        <f>IF(mtx_base_1!C64 = "","",mtx_base_1!C64)</f>
        <v/>
      </c>
      <c r="D54" s="54" t="e">
        <f t="shared" si="31"/>
        <v>#DIV/0!</v>
      </c>
      <c r="E54" s="55" t="e">
        <f t="shared" si="32"/>
        <v>#DIV/0!</v>
      </c>
      <c r="F54" s="56" t="e">
        <f t="shared" si="33"/>
        <v>#DIV/0!</v>
      </c>
      <c r="G54" s="57" t="e">
        <f t="shared" si="41"/>
        <v>#VALUE!</v>
      </c>
      <c r="H54" s="57" t="e">
        <f t="shared" si="41"/>
        <v>#VALUE!</v>
      </c>
      <c r="I54" s="47" t="e">
        <f t="shared" si="35"/>
        <v>#VALUE!</v>
      </c>
      <c r="J54" s="47" t="e">
        <f t="shared" si="36"/>
        <v>#VALUE!</v>
      </c>
      <c r="K54" s="56" t="e">
        <f t="shared" si="37"/>
        <v>#VALUE!</v>
      </c>
      <c r="L54" s="58" t="e">
        <f t="shared" si="38"/>
        <v>#VALUE!</v>
      </c>
      <c r="M54" s="53" t="e">
        <f t="shared" si="39"/>
        <v>#VALUE!</v>
      </c>
      <c r="N54" s="59" t="e">
        <f t="shared" si="42"/>
        <v>#VALUE!</v>
      </c>
      <c r="O54" s="52" t="e">
        <f t="shared" si="42"/>
        <v>#VALUE!</v>
      </c>
      <c r="P54" s="28"/>
    </row>
    <row r="55" spans="1:16" x14ac:dyDescent="0.45">
      <c r="A55" s="130">
        <f>mtx_base_1!A65</f>
        <v>0</v>
      </c>
      <c r="B55" s="131" t="str">
        <f>IF(mtx_base_1!B65 = "","",mtx_base_1!B65)</f>
        <v/>
      </c>
      <c r="C55" s="132" t="str">
        <f>IF(mtx_base_1!C65 = "","",mtx_base_1!C65)</f>
        <v/>
      </c>
      <c r="D55" s="54" t="e">
        <f t="shared" si="31"/>
        <v>#DIV/0!</v>
      </c>
      <c r="E55" s="55" t="e">
        <f t="shared" si="32"/>
        <v>#DIV/0!</v>
      </c>
      <c r="F55" s="56" t="e">
        <f t="shared" si="33"/>
        <v>#DIV/0!</v>
      </c>
      <c r="G55" s="57" t="e">
        <f t="shared" si="41"/>
        <v>#VALUE!</v>
      </c>
      <c r="H55" s="57" t="e">
        <f t="shared" si="41"/>
        <v>#VALUE!</v>
      </c>
      <c r="I55" s="47" t="e">
        <f t="shared" si="35"/>
        <v>#VALUE!</v>
      </c>
      <c r="J55" s="47" t="e">
        <f t="shared" si="36"/>
        <v>#VALUE!</v>
      </c>
      <c r="K55" s="56" t="e">
        <f t="shared" si="37"/>
        <v>#VALUE!</v>
      </c>
      <c r="L55" s="58" t="e">
        <f t="shared" si="38"/>
        <v>#VALUE!</v>
      </c>
      <c r="M55" s="53" t="e">
        <f t="shared" si="39"/>
        <v>#VALUE!</v>
      </c>
      <c r="N55" s="59" t="e">
        <f t="shared" si="42"/>
        <v>#VALUE!</v>
      </c>
      <c r="O55" s="52" t="e">
        <f t="shared" si="42"/>
        <v>#VALUE!</v>
      </c>
      <c r="P55" s="28"/>
    </row>
    <row r="56" spans="1:16" x14ac:dyDescent="0.45">
      <c r="A56" s="130">
        <f>mtx_base_1!A66</f>
        <v>0</v>
      </c>
      <c r="B56" s="131" t="str">
        <f>IF(mtx_base_1!B66 = "","",mtx_base_1!B66)</f>
        <v/>
      </c>
      <c r="C56" s="132" t="str">
        <f>IF(mtx_base_1!C66 = "","",mtx_base_1!C66)</f>
        <v/>
      </c>
      <c r="D56" s="54" t="e">
        <f t="shared" si="31"/>
        <v>#DIV/0!</v>
      </c>
      <c r="E56" s="55" t="e">
        <f t="shared" si="32"/>
        <v>#DIV/0!</v>
      </c>
      <c r="F56" s="56" t="e">
        <f t="shared" si="33"/>
        <v>#DIV/0!</v>
      </c>
      <c r="G56" s="57" t="e">
        <f t="shared" si="41"/>
        <v>#VALUE!</v>
      </c>
      <c r="H56" s="57" t="e">
        <f t="shared" si="41"/>
        <v>#VALUE!</v>
      </c>
      <c r="I56" s="47" t="e">
        <f t="shared" si="35"/>
        <v>#VALUE!</v>
      </c>
      <c r="J56" s="47" t="e">
        <f t="shared" si="36"/>
        <v>#VALUE!</v>
      </c>
      <c r="K56" s="56" t="e">
        <f t="shared" si="37"/>
        <v>#VALUE!</v>
      </c>
      <c r="L56" s="58" t="e">
        <f t="shared" si="38"/>
        <v>#VALUE!</v>
      </c>
      <c r="M56" s="53" t="e">
        <f t="shared" si="39"/>
        <v>#VALUE!</v>
      </c>
      <c r="N56" s="59" t="e">
        <f t="shared" si="42"/>
        <v>#VALUE!</v>
      </c>
      <c r="O56" s="52" t="e">
        <f t="shared" si="42"/>
        <v>#VALUE!</v>
      </c>
      <c r="P56" s="28"/>
    </row>
    <row r="57" spans="1:16" x14ac:dyDescent="0.45">
      <c r="A57" s="130">
        <f>mtx_base_1!A67</f>
        <v>0</v>
      </c>
      <c r="B57" s="131" t="str">
        <f>IF(mtx_base_1!B67 = "","",mtx_base_1!B67)</f>
        <v/>
      </c>
      <c r="C57" s="132" t="str">
        <f>IF(mtx_base_1!C67 = "","",mtx_base_1!C67)</f>
        <v/>
      </c>
      <c r="D57" s="54" t="e">
        <f t="shared" si="31"/>
        <v>#DIV/0!</v>
      </c>
      <c r="E57" s="55" t="e">
        <f t="shared" si="32"/>
        <v>#DIV/0!</v>
      </c>
      <c r="F57" s="56" t="e">
        <f t="shared" si="33"/>
        <v>#DIV/0!</v>
      </c>
      <c r="G57" s="57" t="e">
        <f t="shared" si="41"/>
        <v>#VALUE!</v>
      </c>
      <c r="H57" s="57" t="e">
        <f t="shared" si="41"/>
        <v>#VALUE!</v>
      </c>
      <c r="I57" s="47" t="e">
        <f t="shared" si="35"/>
        <v>#VALUE!</v>
      </c>
      <c r="J57" s="47" t="e">
        <f t="shared" si="36"/>
        <v>#VALUE!</v>
      </c>
      <c r="K57" s="56" t="e">
        <f t="shared" si="37"/>
        <v>#VALUE!</v>
      </c>
      <c r="L57" s="58" t="e">
        <f t="shared" si="38"/>
        <v>#VALUE!</v>
      </c>
      <c r="M57" s="53" t="e">
        <f t="shared" si="39"/>
        <v>#VALUE!</v>
      </c>
      <c r="N57" s="59" t="e">
        <f t="shared" si="42"/>
        <v>#VALUE!</v>
      </c>
      <c r="O57" s="52" t="e">
        <f t="shared" si="42"/>
        <v>#VALUE!</v>
      </c>
      <c r="P57" s="28"/>
    </row>
    <row r="58" spans="1:16" x14ac:dyDescent="0.45">
      <c r="A58" s="130">
        <f>mtx_base_1!A68</f>
        <v>0</v>
      </c>
      <c r="B58" s="131" t="str">
        <f>IF(mtx_base_1!B68 = "","",mtx_base_1!B68)</f>
        <v/>
      </c>
      <c r="C58" s="132" t="str">
        <f>IF(mtx_base_1!C68 = "","",mtx_base_1!C68)</f>
        <v/>
      </c>
      <c r="D58" s="54" t="e">
        <f t="shared" si="31"/>
        <v>#DIV/0!</v>
      </c>
      <c r="E58" s="55" t="e">
        <f t="shared" si="32"/>
        <v>#DIV/0!</v>
      </c>
      <c r="F58" s="56" t="e">
        <f t="shared" si="33"/>
        <v>#DIV/0!</v>
      </c>
      <c r="G58" s="57" t="e">
        <f t="shared" si="41"/>
        <v>#VALUE!</v>
      </c>
      <c r="H58" s="57" t="e">
        <f t="shared" si="41"/>
        <v>#VALUE!</v>
      </c>
      <c r="I58" s="47" t="e">
        <f t="shared" si="35"/>
        <v>#VALUE!</v>
      </c>
      <c r="J58" s="47" t="e">
        <f t="shared" si="36"/>
        <v>#VALUE!</v>
      </c>
      <c r="K58" s="56" t="e">
        <f t="shared" si="37"/>
        <v>#VALUE!</v>
      </c>
      <c r="L58" s="58" t="e">
        <f t="shared" si="38"/>
        <v>#VALUE!</v>
      </c>
      <c r="M58" s="53" t="e">
        <f t="shared" si="39"/>
        <v>#VALUE!</v>
      </c>
      <c r="N58" s="59" t="e">
        <f t="shared" si="42"/>
        <v>#VALUE!</v>
      </c>
      <c r="O58" s="52" t="e">
        <f t="shared" si="42"/>
        <v>#VALUE!</v>
      </c>
      <c r="P58" s="28"/>
    </row>
    <row r="59" spans="1:16" ht="16.5" thickBot="1" x14ac:dyDescent="0.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</row>
    <row r="60" spans="1:16" ht="16.5" thickBot="1" x14ac:dyDescent="0.5">
      <c r="A60" s="60" t="s">
        <v>46</v>
      </c>
      <c r="B60" s="111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</row>
    <row r="61" spans="1:16" x14ac:dyDescent="0.4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</row>
    <row r="62" spans="1:16" ht="25.5" thickBot="1" x14ac:dyDescent="0.75">
      <c r="A62" s="27" t="s">
        <v>47</v>
      </c>
      <c r="B62" s="137"/>
      <c r="C62" s="137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</row>
    <row r="63" spans="1:16" x14ac:dyDescent="0.45">
      <c r="A63" s="30"/>
      <c r="B63" s="151"/>
      <c r="C63" s="151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</row>
    <row r="64" spans="1:16" ht="16.5" thickBot="1" x14ac:dyDescent="0.5">
      <c r="A64" s="31" t="s">
        <v>30</v>
      </c>
      <c r="B64" s="143"/>
      <c r="C64" s="143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</row>
    <row r="65" spans="1:18" x14ac:dyDescent="0.45">
      <c r="A65" s="32" t="s">
        <v>31</v>
      </c>
      <c r="B65" s="33" t="e">
        <f>AVERAGE(B70:B119)</f>
        <v>#DIV/0!</v>
      </c>
      <c r="C65" s="34" t="e">
        <f>AVERAGE(C70:C119)</f>
        <v>#DIV/0!</v>
      </c>
      <c r="D65" s="35" t="s">
        <v>32</v>
      </c>
      <c r="E65" s="61" t="e">
        <f>B67-B66</f>
        <v>#DIV/0!</v>
      </c>
      <c r="F65" s="62" t="e">
        <f>C67-C66</f>
        <v>#DIV/0!</v>
      </c>
      <c r="G65" s="38"/>
      <c r="H65" s="39"/>
      <c r="I65" s="38"/>
      <c r="J65" s="38"/>
      <c r="K65" s="28"/>
      <c r="L65" s="28"/>
      <c r="M65" s="28"/>
      <c r="N65" s="28"/>
      <c r="O65" s="28"/>
      <c r="P65" s="28"/>
    </row>
    <row r="66" spans="1:18" ht="16.5" thickBot="1" x14ac:dyDescent="0.5">
      <c r="A66" s="63" t="s">
        <v>33</v>
      </c>
      <c r="B66" s="64" t="e">
        <f>B65-1.1*(MAX(MAX(B70:B119)-B65,B65-MIN(B70:B119)))</f>
        <v>#DIV/0!</v>
      </c>
      <c r="C66" s="133" t="e">
        <f>C65-1.1*(MAX(MAX(C70:C119)-C65,C65-MIN(C70:C119)))</f>
        <v>#DIV/0!</v>
      </c>
      <c r="D66" s="65" t="s">
        <v>34</v>
      </c>
      <c r="E66" s="66" t="e">
        <f>+E65/75</f>
        <v>#DIV/0!</v>
      </c>
      <c r="F66" s="67" t="e">
        <f>+F65/75</f>
        <v>#DIV/0!</v>
      </c>
      <c r="G66" s="38"/>
      <c r="H66" s="38"/>
      <c r="I66" s="38"/>
      <c r="J66" s="38"/>
      <c r="K66" s="28"/>
      <c r="L66" s="28"/>
      <c r="M66" s="28"/>
      <c r="N66" s="28"/>
      <c r="O66" s="28"/>
      <c r="P66" s="28"/>
    </row>
    <row r="67" spans="1:18" ht="16.5" thickBot="1" x14ac:dyDescent="0.5">
      <c r="A67" s="68" t="s">
        <v>35</v>
      </c>
      <c r="B67" s="69" t="e">
        <f>B65+1.1*(MAX(MAX(B70:B119)-B65,B65-MIN(B70:B119)))</f>
        <v>#DIV/0!</v>
      </c>
      <c r="C67" s="70" t="e">
        <f>C65+1.1*(MAX(MAX(C70:C119)-C65,C65-MIN(C70:C119)))</f>
        <v>#DIV/0!</v>
      </c>
      <c r="D67" s="40"/>
      <c r="E67" s="41"/>
      <c r="F67" s="41"/>
      <c r="G67" s="42"/>
      <c r="H67" s="42"/>
      <c r="I67" s="42"/>
      <c r="J67" s="42"/>
      <c r="K67" s="43"/>
      <c r="L67" s="43"/>
      <c r="M67" s="28"/>
      <c r="N67" s="28"/>
      <c r="O67" s="28"/>
      <c r="P67" s="28"/>
    </row>
    <row r="68" spans="1:18" x14ac:dyDescent="0.45">
      <c r="A68" s="28"/>
      <c r="B68" s="38"/>
      <c r="C68" s="44"/>
      <c r="D68" s="138" t="s">
        <v>36</v>
      </c>
      <c r="E68" s="139"/>
      <c r="F68" s="139"/>
      <c r="G68" s="139"/>
      <c r="H68" s="139"/>
      <c r="I68" s="139"/>
      <c r="J68" s="139"/>
      <c r="K68" s="139"/>
      <c r="L68" s="139"/>
      <c r="M68" s="140" t="s">
        <v>37</v>
      </c>
      <c r="N68" s="140"/>
      <c r="O68" s="144" t="s">
        <v>38</v>
      </c>
      <c r="P68" s="28"/>
    </row>
    <row r="69" spans="1:18" ht="16.5" thickBot="1" x14ac:dyDescent="0.5">
      <c r="A69" s="71" t="s">
        <v>39</v>
      </c>
      <c r="B69" s="72" t="s">
        <v>40</v>
      </c>
      <c r="C69" s="73" t="s">
        <v>41</v>
      </c>
      <c r="D69" s="149" t="s">
        <v>42</v>
      </c>
      <c r="E69" s="150"/>
      <c r="F69" s="74" t="s">
        <v>43</v>
      </c>
      <c r="G69" s="150" t="s">
        <v>44</v>
      </c>
      <c r="H69" s="150"/>
      <c r="I69" s="150"/>
      <c r="J69" s="150"/>
      <c r="K69" s="150" t="s">
        <v>45</v>
      </c>
      <c r="L69" s="150"/>
      <c r="M69" s="152"/>
      <c r="N69" s="152"/>
      <c r="O69" s="148"/>
      <c r="P69" s="28"/>
    </row>
    <row r="70" spans="1:18" x14ac:dyDescent="0.45">
      <c r="A70" s="112">
        <f>A9</f>
        <v>0</v>
      </c>
      <c r="B70" s="113" t="str">
        <f>IF(mtx_base_2!B19 = "","",mtx_base_2!B19)</f>
        <v/>
      </c>
      <c r="C70" s="113" t="str">
        <f>IF(mtx_base_2!C19 = "","",mtx_base_2!C19)</f>
        <v/>
      </c>
      <c r="D70" s="45" t="e">
        <f t="shared" ref="D70:D95" si="43">$B$65</f>
        <v>#DIV/0!</v>
      </c>
      <c r="E70" s="46" t="e">
        <f t="shared" ref="E70:E95" si="44">$C$65</f>
        <v>#DIV/0!</v>
      </c>
      <c r="F70" s="47" t="e">
        <f t="shared" ref="F70" si="45">IF(AND(B70&lt;D70,C70&lt;E70),"Blue",(IF(AND(B70&lt;D70,C70&gt;E70),"Red",(IF(AND(B70&gt;D70,C70&gt;E70),"Green",(IF(AND(B70&gt;D70,C70&lt;E70),"Yellow")))))))</f>
        <v>#DIV/0!</v>
      </c>
      <c r="G70" s="48" t="e">
        <f t="shared" ref="G70" si="46">B70-D70</f>
        <v>#VALUE!</v>
      </c>
      <c r="H70" s="48" t="e">
        <f t="shared" ref="H70" si="47">C70-E70</f>
        <v>#VALUE!</v>
      </c>
      <c r="I70" s="47" t="e">
        <f t="shared" ref="I70" si="48">IF((ABS(G70)&lt;$E$66),"TIE",F70)</f>
        <v>#VALUE!</v>
      </c>
      <c r="J70" s="47" t="e">
        <f t="shared" ref="J70" si="49">IF((ABS(H70)&lt;$F$66),"TIE",F70)</f>
        <v>#VALUE!</v>
      </c>
      <c r="K70" s="47" t="e">
        <f t="shared" ref="K70" si="50">IF(AND(I70&lt;&gt;"TIE",J70&lt;&gt;"TIE"),F70,"TIE")</f>
        <v>#VALUE!</v>
      </c>
      <c r="L70" s="49" t="e">
        <f t="shared" ref="L70" si="51">IF(AND(I70="TIE",C70&gt;E70),"Red/Green",(IF(AND(I70="TIE",C70&lt;E70),"Blue/Yellow",(IF(AND(B70&lt;D70,J70="TIE"),"Red/Blue",(IF(AND(B70&gt;D70,J70="TIE"),"Green/Yellow")))))))</f>
        <v>#VALUE!</v>
      </c>
      <c r="M70" s="50" t="e">
        <f t="shared" ref="M70" si="52">IF(AND(I70="TIE",J70="TIE"),"Four Way Tie",IF(L70=FALSE,K70,L70))</f>
        <v>#VALUE!</v>
      </c>
      <c r="N70" s="51" t="e">
        <f t="shared" ref="N70" si="53">M70</f>
        <v>#VALUE!</v>
      </c>
      <c r="O70" s="52" t="e">
        <f t="shared" ref="O70" si="54">N70</f>
        <v>#VALUE!</v>
      </c>
      <c r="P70" s="28"/>
      <c r="R70" s="75"/>
    </row>
    <row r="71" spans="1:18" x14ac:dyDescent="0.45">
      <c r="A71" s="112">
        <f t="shared" ref="A71:A119" si="55">A10</f>
        <v>0</v>
      </c>
      <c r="B71" s="113" t="str">
        <f>IF(mtx_base_2!B20 = "","",mtx_base_2!B20)</f>
        <v/>
      </c>
      <c r="C71" s="113" t="str">
        <f>IF(mtx_base_2!C20 = "","",mtx_base_2!C20)</f>
        <v/>
      </c>
      <c r="D71" s="45" t="e">
        <f t="shared" si="43"/>
        <v>#DIV/0!</v>
      </c>
      <c r="E71" s="46" t="e">
        <f t="shared" si="44"/>
        <v>#DIV/0!</v>
      </c>
      <c r="F71" s="47" t="e">
        <f t="shared" ref="F71:F94" si="56">IF(AND(B71&lt;D71,C71&lt;E71),"Blue",(IF(AND(B71&lt;D71,C71&gt;E71),"Red",(IF(AND(B71&gt;D71,C71&gt;E71),"Green",(IF(AND(B71&gt;D71,C71&lt;E71),"Yellow")))))))</f>
        <v>#DIV/0!</v>
      </c>
      <c r="G71" s="48" t="e">
        <f t="shared" ref="G71:G94" si="57">B71-D71</f>
        <v>#VALUE!</v>
      </c>
      <c r="H71" s="48" t="e">
        <f t="shared" ref="H71:H94" si="58">C71-E71</f>
        <v>#VALUE!</v>
      </c>
      <c r="I71" s="47" t="e">
        <f t="shared" ref="I71:I94" si="59">IF((ABS(G71)&lt;$E$66),"TIE",F71)</f>
        <v>#VALUE!</v>
      </c>
      <c r="J71" s="47" t="e">
        <f t="shared" ref="J71:J94" si="60">IF((ABS(H71)&lt;$F$66),"TIE",F71)</f>
        <v>#VALUE!</v>
      </c>
      <c r="K71" s="47" t="e">
        <f t="shared" ref="K71:K94" si="61">IF(AND(I71&lt;&gt;"TIE",J71&lt;&gt;"TIE"),F71,"TIE")</f>
        <v>#VALUE!</v>
      </c>
      <c r="L71" s="49" t="e">
        <f t="shared" ref="L71:L94" si="62">IF(AND(I71="TIE",C71&gt;E71),"Red/Green",(IF(AND(I71="TIE",C71&lt;E71),"Blue/Yellow",(IF(AND(B71&lt;D71,J71="TIE"),"Red/Blue",(IF(AND(B71&gt;D71,J71="TIE"),"Green/Yellow")))))))</f>
        <v>#VALUE!</v>
      </c>
      <c r="M71" s="50" t="e">
        <f t="shared" ref="M71:M94" si="63">IF(AND(I71="TIE",J71="TIE"),"Four Way Tie",IF(L71=FALSE,K71,L71))</f>
        <v>#VALUE!</v>
      </c>
      <c r="N71" s="51" t="e">
        <f t="shared" ref="N71:N94" si="64">M71</f>
        <v>#VALUE!</v>
      </c>
      <c r="O71" s="52" t="e">
        <f t="shared" ref="O71:O94" si="65">N71</f>
        <v>#VALUE!</v>
      </c>
      <c r="P71" s="28"/>
      <c r="R71" s="75"/>
    </row>
    <row r="72" spans="1:18" x14ac:dyDescent="0.45">
      <c r="A72" s="112">
        <f t="shared" si="55"/>
        <v>0</v>
      </c>
      <c r="B72" s="113" t="str">
        <f>IF(mtx_base_2!B21 = "","",mtx_base_2!B21)</f>
        <v/>
      </c>
      <c r="C72" s="113" t="str">
        <f>IF(mtx_base_2!C21 = "","",mtx_base_2!C21)</f>
        <v/>
      </c>
      <c r="D72" s="45" t="e">
        <f t="shared" si="43"/>
        <v>#DIV/0!</v>
      </c>
      <c r="E72" s="46" t="e">
        <f t="shared" si="44"/>
        <v>#DIV/0!</v>
      </c>
      <c r="F72" s="47" t="e">
        <f t="shared" si="56"/>
        <v>#DIV/0!</v>
      </c>
      <c r="G72" s="48" t="e">
        <f t="shared" si="57"/>
        <v>#VALUE!</v>
      </c>
      <c r="H72" s="48" t="e">
        <f t="shared" si="58"/>
        <v>#VALUE!</v>
      </c>
      <c r="I72" s="47" t="e">
        <f t="shared" si="59"/>
        <v>#VALUE!</v>
      </c>
      <c r="J72" s="47" t="e">
        <f t="shared" si="60"/>
        <v>#VALUE!</v>
      </c>
      <c r="K72" s="47" t="e">
        <f t="shared" si="61"/>
        <v>#VALUE!</v>
      </c>
      <c r="L72" s="49" t="e">
        <f t="shared" si="62"/>
        <v>#VALUE!</v>
      </c>
      <c r="M72" s="50" t="e">
        <f t="shared" si="63"/>
        <v>#VALUE!</v>
      </c>
      <c r="N72" s="51" t="e">
        <f t="shared" si="64"/>
        <v>#VALUE!</v>
      </c>
      <c r="O72" s="52" t="e">
        <f t="shared" si="65"/>
        <v>#VALUE!</v>
      </c>
      <c r="P72" s="28"/>
      <c r="R72" s="75"/>
    </row>
    <row r="73" spans="1:18" x14ac:dyDescent="0.45">
      <c r="A73" s="112">
        <f t="shared" si="55"/>
        <v>0</v>
      </c>
      <c r="B73" s="113" t="str">
        <f>IF(mtx_base_2!B22 = "","",mtx_base_2!B22)</f>
        <v/>
      </c>
      <c r="C73" s="113" t="str">
        <f>IF(mtx_base_2!C22 = "","",mtx_base_2!C22)</f>
        <v/>
      </c>
      <c r="D73" s="45" t="e">
        <f t="shared" si="43"/>
        <v>#DIV/0!</v>
      </c>
      <c r="E73" s="46" t="e">
        <f t="shared" si="44"/>
        <v>#DIV/0!</v>
      </c>
      <c r="F73" s="47" t="e">
        <f t="shared" si="56"/>
        <v>#DIV/0!</v>
      </c>
      <c r="G73" s="48" t="e">
        <f t="shared" si="57"/>
        <v>#VALUE!</v>
      </c>
      <c r="H73" s="48" t="e">
        <f t="shared" si="58"/>
        <v>#VALUE!</v>
      </c>
      <c r="I73" s="47" t="e">
        <f t="shared" si="59"/>
        <v>#VALUE!</v>
      </c>
      <c r="J73" s="47" t="e">
        <f t="shared" si="60"/>
        <v>#VALUE!</v>
      </c>
      <c r="K73" s="47" t="e">
        <f t="shared" si="61"/>
        <v>#VALUE!</v>
      </c>
      <c r="L73" s="49" t="e">
        <f t="shared" si="62"/>
        <v>#VALUE!</v>
      </c>
      <c r="M73" s="50" t="e">
        <f t="shared" si="63"/>
        <v>#VALUE!</v>
      </c>
      <c r="N73" s="51" t="e">
        <f t="shared" si="64"/>
        <v>#VALUE!</v>
      </c>
      <c r="O73" s="52" t="e">
        <f t="shared" si="65"/>
        <v>#VALUE!</v>
      </c>
      <c r="P73" s="28"/>
      <c r="R73" s="75"/>
    </row>
    <row r="74" spans="1:18" x14ac:dyDescent="0.45">
      <c r="A74" s="112">
        <f t="shared" si="55"/>
        <v>0</v>
      </c>
      <c r="B74" s="113" t="str">
        <f>IF(mtx_base_2!B23 = "","",mtx_base_2!B23)</f>
        <v/>
      </c>
      <c r="C74" s="113" t="str">
        <f>IF(mtx_base_2!C23 = "","",mtx_base_2!C23)</f>
        <v/>
      </c>
      <c r="D74" s="45" t="e">
        <f t="shared" si="43"/>
        <v>#DIV/0!</v>
      </c>
      <c r="E74" s="46" t="e">
        <f t="shared" si="44"/>
        <v>#DIV/0!</v>
      </c>
      <c r="F74" s="47" t="e">
        <f t="shared" si="56"/>
        <v>#DIV/0!</v>
      </c>
      <c r="G74" s="48" t="e">
        <f t="shared" si="57"/>
        <v>#VALUE!</v>
      </c>
      <c r="H74" s="48" t="e">
        <f t="shared" si="58"/>
        <v>#VALUE!</v>
      </c>
      <c r="I74" s="47" t="e">
        <f t="shared" si="59"/>
        <v>#VALUE!</v>
      </c>
      <c r="J74" s="47" t="e">
        <f t="shared" si="60"/>
        <v>#VALUE!</v>
      </c>
      <c r="K74" s="47" t="e">
        <f t="shared" si="61"/>
        <v>#VALUE!</v>
      </c>
      <c r="L74" s="49" t="e">
        <f t="shared" si="62"/>
        <v>#VALUE!</v>
      </c>
      <c r="M74" s="50" t="e">
        <f t="shared" si="63"/>
        <v>#VALUE!</v>
      </c>
      <c r="N74" s="51" t="e">
        <f t="shared" si="64"/>
        <v>#VALUE!</v>
      </c>
      <c r="O74" s="52" t="e">
        <f t="shared" si="65"/>
        <v>#VALUE!</v>
      </c>
      <c r="P74" s="28"/>
      <c r="R74" s="75"/>
    </row>
    <row r="75" spans="1:18" x14ac:dyDescent="0.45">
      <c r="A75" s="112">
        <f t="shared" si="55"/>
        <v>0</v>
      </c>
      <c r="B75" s="113" t="str">
        <f>IF(mtx_base_2!B24 = "","",mtx_base_2!B24)</f>
        <v/>
      </c>
      <c r="C75" s="113" t="str">
        <f>IF(mtx_base_2!C24 = "","",mtx_base_2!C24)</f>
        <v/>
      </c>
      <c r="D75" s="45" t="e">
        <f t="shared" si="43"/>
        <v>#DIV/0!</v>
      </c>
      <c r="E75" s="46" t="e">
        <f t="shared" si="44"/>
        <v>#DIV/0!</v>
      </c>
      <c r="F75" s="47" t="e">
        <f t="shared" si="56"/>
        <v>#DIV/0!</v>
      </c>
      <c r="G75" s="48" t="e">
        <f t="shared" si="57"/>
        <v>#VALUE!</v>
      </c>
      <c r="H75" s="48" t="e">
        <f t="shared" si="58"/>
        <v>#VALUE!</v>
      </c>
      <c r="I75" s="47" t="e">
        <f t="shared" si="59"/>
        <v>#VALUE!</v>
      </c>
      <c r="J75" s="47" t="e">
        <f t="shared" si="60"/>
        <v>#VALUE!</v>
      </c>
      <c r="K75" s="47" t="e">
        <f t="shared" si="61"/>
        <v>#VALUE!</v>
      </c>
      <c r="L75" s="49" t="e">
        <f t="shared" si="62"/>
        <v>#VALUE!</v>
      </c>
      <c r="M75" s="50" t="e">
        <f t="shared" si="63"/>
        <v>#VALUE!</v>
      </c>
      <c r="N75" s="51" t="e">
        <f t="shared" si="64"/>
        <v>#VALUE!</v>
      </c>
      <c r="O75" s="52" t="e">
        <f t="shared" si="65"/>
        <v>#VALUE!</v>
      </c>
      <c r="P75" s="28"/>
      <c r="R75" s="75"/>
    </row>
    <row r="76" spans="1:18" x14ac:dyDescent="0.45">
      <c r="A76" s="112">
        <f t="shared" si="55"/>
        <v>0</v>
      </c>
      <c r="B76" s="113" t="str">
        <f>IF(mtx_base_2!B25 = "","",mtx_base_2!B25)</f>
        <v/>
      </c>
      <c r="C76" s="113" t="str">
        <f>IF(mtx_base_2!C25 = "","",mtx_base_2!C25)</f>
        <v/>
      </c>
      <c r="D76" s="45" t="e">
        <f t="shared" si="43"/>
        <v>#DIV/0!</v>
      </c>
      <c r="E76" s="46" t="e">
        <f t="shared" si="44"/>
        <v>#DIV/0!</v>
      </c>
      <c r="F76" s="47" t="e">
        <f t="shared" si="56"/>
        <v>#DIV/0!</v>
      </c>
      <c r="G76" s="48" t="e">
        <f t="shared" si="57"/>
        <v>#VALUE!</v>
      </c>
      <c r="H76" s="48" t="e">
        <f t="shared" si="58"/>
        <v>#VALUE!</v>
      </c>
      <c r="I76" s="47" t="e">
        <f t="shared" si="59"/>
        <v>#VALUE!</v>
      </c>
      <c r="J76" s="47" t="e">
        <f t="shared" si="60"/>
        <v>#VALUE!</v>
      </c>
      <c r="K76" s="47" t="e">
        <f t="shared" si="61"/>
        <v>#VALUE!</v>
      </c>
      <c r="L76" s="49" t="e">
        <f t="shared" si="62"/>
        <v>#VALUE!</v>
      </c>
      <c r="M76" s="50" t="e">
        <f t="shared" si="63"/>
        <v>#VALUE!</v>
      </c>
      <c r="N76" s="51" t="e">
        <f t="shared" si="64"/>
        <v>#VALUE!</v>
      </c>
      <c r="O76" s="52" t="e">
        <f t="shared" si="65"/>
        <v>#VALUE!</v>
      </c>
      <c r="P76" s="28"/>
      <c r="R76" s="75"/>
    </row>
    <row r="77" spans="1:18" x14ac:dyDescent="0.45">
      <c r="A77" s="112">
        <f t="shared" si="55"/>
        <v>0</v>
      </c>
      <c r="B77" s="113" t="str">
        <f>IF(mtx_base_2!B26 = "","",mtx_base_2!B26)</f>
        <v/>
      </c>
      <c r="C77" s="113" t="str">
        <f>IF(mtx_base_2!C26 = "","",mtx_base_2!C26)</f>
        <v/>
      </c>
      <c r="D77" s="45" t="e">
        <f t="shared" si="43"/>
        <v>#DIV/0!</v>
      </c>
      <c r="E77" s="46" t="e">
        <f t="shared" si="44"/>
        <v>#DIV/0!</v>
      </c>
      <c r="F77" s="47" t="e">
        <f t="shared" si="56"/>
        <v>#DIV/0!</v>
      </c>
      <c r="G77" s="48" t="e">
        <f t="shared" si="57"/>
        <v>#VALUE!</v>
      </c>
      <c r="H77" s="48" t="e">
        <f t="shared" si="58"/>
        <v>#VALUE!</v>
      </c>
      <c r="I77" s="47" t="e">
        <f t="shared" si="59"/>
        <v>#VALUE!</v>
      </c>
      <c r="J77" s="47" t="e">
        <f t="shared" si="60"/>
        <v>#VALUE!</v>
      </c>
      <c r="K77" s="47" t="e">
        <f t="shared" si="61"/>
        <v>#VALUE!</v>
      </c>
      <c r="L77" s="49" t="e">
        <f t="shared" si="62"/>
        <v>#VALUE!</v>
      </c>
      <c r="M77" s="50" t="e">
        <f t="shared" si="63"/>
        <v>#VALUE!</v>
      </c>
      <c r="N77" s="51" t="e">
        <f t="shared" si="64"/>
        <v>#VALUE!</v>
      </c>
      <c r="O77" s="52" t="e">
        <f t="shared" si="65"/>
        <v>#VALUE!</v>
      </c>
      <c r="P77" s="28"/>
      <c r="R77" s="75"/>
    </row>
    <row r="78" spans="1:18" x14ac:dyDescent="0.45">
      <c r="A78" s="112">
        <f t="shared" si="55"/>
        <v>0</v>
      </c>
      <c r="B78" s="113" t="str">
        <f>IF(mtx_base_2!B27 = "","",mtx_base_2!B27)</f>
        <v/>
      </c>
      <c r="C78" s="113" t="str">
        <f>IF(mtx_base_2!C27 = "","",mtx_base_2!C27)</f>
        <v/>
      </c>
      <c r="D78" s="45" t="e">
        <f t="shared" si="43"/>
        <v>#DIV/0!</v>
      </c>
      <c r="E78" s="46" t="e">
        <f t="shared" si="44"/>
        <v>#DIV/0!</v>
      </c>
      <c r="F78" s="47" t="e">
        <f t="shared" si="56"/>
        <v>#DIV/0!</v>
      </c>
      <c r="G78" s="48" t="e">
        <f t="shared" si="57"/>
        <v>#VALUE!</v>
      </c>
      <c r="H78" s="48" t="e">
        <f t="shared" si="58"/>
        <v>#VALUE!</v>
      </c>
      <c r="I78" s="47" t="e">
        <f t="shared" si="59"/>
        <v>#VALUE!</v>
      </c>
      <c r="J78" s="47" t="e">
        <f t="shared" si="60"/>
        <v>#VALUE!</v>
      </c>
      <c r="K78" s="47" t="e">
        <f t="shared" si="61"/>
        <v>#VALUE!</v>
      </c>
      <c r="L78" s="49" t="e">
        <f t="shared" si="62"/>
        <v>#VALUE!</v>
      </c>
      <c r="M78" s="50" t="e">
        <f t="shared" si="63"/>
        <v>#VALUE!</v>
      </c>
      <c r="N78" s="51" t="e">
        <f t="shared" si="64"/>
        <v>#VALUE!</v>
      </c>
      <c r="O78" s="52" t="e">
        <f t="shared" si="65"/>
        <v>#VALUE!</v>
      </c>
      <c r="P78" s="28"/>
      <c r="R78" s="75"/>
    </row>
    <row r="79" spans="1:18" x14ac:dyDescent="0.45">
      <c r="A79" s="112">
        <f t="shared" si="55"/>
        <v>0</v>
      </c>
      <c r="B79" s="113" t="str">
        <f>IF(mtx_base_2!B28 = "","",mtx_base_2!B28)</f>
        <v/>
      </c>
      <c r="C79" s="113" t="str">
        <f>IF(mtx_base_2!C28 = "","",mtx_base_2!C28)</f>
        <v/>
      </c>
      <c r="D79" s="45" t="e">
        <f t="shared" si="43"/>
        <v>#DIV/0!</v>
      </c>
      <c r="E79" s="46" t="e">
        <f t="shared" si="44"/>
        <v>#DIV/0!</v>
      </c>
      <c r="F79" s="47" t="e">
        <f t="shared" si="56"/>
        <v>#DIV/0!</v>
      </c>
      <c r="G79" s="48" t="e">
        <f t="shared" si="57"/>
        <v>#VALUE!</v>
      </c>
      <c r="H79" s="48" t="e">
        <f t="shared" si="58"/>
        <v>#VALUE!</v>
      </c>
      <c r="I79" s="47" t="e">
        <f t="shared" si="59"/>
        <v>#VALUE!</v>
      </c>
      <c r="J79" s="47" t="e">
        <f t="shared" si="60"/>
        <v>#VALUE!</v>
      </c>
      <c r="K79" s="47" t="e">
        <f t="shared" si="61"/>
        <v>#VALUE!</v>
      </c>
      <c r="L79" s="49" t="e">
        <f t="shared" si="62"/>
        <v>#VALUE!</v>
      </c>
      <c r="M79" s="50" t="e">
        <f t="shared" si="63"/>
        <v>#VALUE!</v>
      </c>
      <c r="N79" s="51" t="e">
        <f t="shared" si="64"/>
        <v>#VALUE!</v>
      </c>
      <c r="O79" s="52" t="e">
        <f t="shared" si="65"/>
        <v>#VALUE!</v>
      </c>
      <c r="P79" s="28"/>
      <c r="R79" s="75"/>
    </row>
    <row r="80" spans="1:18" x14ac:dyDescent="0.45">
      <c r="A80" s="112">
        <f t="shared" si="55"/>
        <v>0</v>
      </c>
      <c r="B80" s="113" t="str">
        <f>IF(mtx_base_2!B29 = "","",mtx_base_2!B29)</f>
        <v/>
      </c>
      <c r="C80" s="113" t="str">
        <f>IF(mtx_base_2!C29 = "","",mtx_base_2!C29)</f>
        <v/>
      </c>
      <c r="D80" s="45" t="e">
        <f t="shared" si="43"/>
        <v>#DIV/0!</v>
      </c>
      <c r="E80" s="46" t="e">
        <f t="shared" si="44"/>
        <v>#DIV/0!</v>
      </c>
      <c r="F80" s="47" t="e">
        <f t="shared" si="56"/>
        <v>#DIV/0!</v>
      </c>
      <c r="G80" s="48" t="e">
        <f t="shared" si="57"/>
        <v>#VALUE!</v>
      </c>
      <c r="H80" s="48" t="e">
        <f t="shared" si="58"/>
        <v>#VALUE!</v>
      </c>
      <c r="I80" s="47" t="e">
        <f t="shared" si="59"/>
        <v>#VALUE!</v>
      </c>
      <c r="J80" s="47" t="e">
        <f t="shared" si="60"/>
        <v>#VALUE!</v>
      </c>
      <c r="K80" s="47" t="e">
        <f t="shared" si="61"/>
        <v>#VALUE!</v>
      </c>
      <c r="L80" s="49" t="e">
        <f t="shared" si="62"/>
        <v>#VALUE!</v>
      </c>
      <c r="M80" s="50" t="e">
        <f t="shared" si="63"/>
        <v>#VALUE!</v>
      </c>
      <c r="N80" s="51" t="e">
        <f t="shared" si="64"/>
        <v>#VALUE!</v>
      </c>
      <c r="O80" s="52" t="e">
        <f t="shared" si="65"/>
        <v>#VALUE!</v>
      </c>
      <c r="P80" s="28"/>
      <c r="R80" s="75"/>
    </row>
    <row r="81" spans="1:18" x14ac:dyDescent="0.45">
      <c r="A81" s="112">
        <f t="shared" si="55"/>
        <v>0</v>
      </c>
      <c r="B81" s="113" t="str">
        <f>IF(mtx_base_2!B30 = "","",mtx_base_2!B30)</f>
        <v/>
      </c>
      <c r="C81" s="113" t="str">
        <f>IF(mtx_base_2!C30 = "","",mtx_base_2!C30)</f>
        <v/>
      </c>
      <c r="D81" s="45" t="e">
        <f t="shared" si="43"/>
        <v>#DIV/0!</v>
      </c>
      <c r="E81" s="46" t="e">
        <f t="shared" si="44"/>
        <v>#DIV/0!</v>
      </c>
      <c r="F81" s="47" t="e">
        <f t="shared" si="56"/>
        <v>#DIV/0!</v>
      </c>
      <c r="G81" s="48" t="e">
        <f t="shared" si="57"/>
        <v>#VALUE!</v>
      </c>
      <c r="H81" s="48" t="e">
        <f t="shared" si="58"/>
        <v>#VALUE!</v>
      </c>
      <c r="I81" s="47" t="e">
        <f t="shared" si="59"/>
        <v>#VALUE!</v>
      </c>
      <c r="J81" s="47" t="e">
        <f t="shared" si="60"/>
        <v>#VALUE!</v>
      </c>
      <c r="K81" s="47" t="e">
        <f t="shared" si="61"/>
        <v>#VALUE!</v>
      </c>
      <c r="L81" s="49" t="e">
        <f t="shared" si="62"/>
        <v>#VALUE!</v>
      </c>
      <c r="M81" s="50" t="e">
        <f t="shared" si="63"/>
        <v>#VALUE!</v>
      </c>
      <c r="N81" s="51" t="e">
        <f t="shared" si="64"/>
        <v>#VALUE!</v>
      </c>
      <c r="O81" s="52" t="e">
        <f t="shared" si="65"/>
        <v>#VALUE!</v>
      </c>
      <c r="P81" s="28"/>
      <c r="R81" s="75"/>
    </row>
    <row r="82" spans="1:18" x14ac:dyDescent="0.45">
      <c r="A82" s="112">
        <f t="shared" si="55"/>
        <v>0</v>
      </c>
      <c r="B82" s="113" t="str">
        <f>IF(mtx_base_2!B31 = "","",mtx_base_2!B31)</f>
        <v/>
      </c>
      <c r="C82" s="113" t="str">
        <f>IF(mtx_base_2!C31 = "","",mtx_base_2!C31)</f>
        <v/>
      </c>
      <c r="D82" s="45" t="e">
        <f t="shared" si="43"/>
        <v>#DIV/0!</v>
      </c>
      <c r="E82" s="46" t="e">
        <f t="shared" si="44"/>
        <v>#DIV/0!</v>
      </c>
      <c r="F82" s="47" t="e">
        <f t="shared" si="56"/>
        <v>#DIV/0!</v>
      </c>
      <c r="G82" s="48" t="e">
        <f t="shared" si="57"/>
        <v>#VALUE!</v>
      </c>
      <c r="H82" s="48" t="e">
        <f t="shared" si="58"/>
        <v>#VALUE!</v>
      </c>
      <c r="I82" s="47" t="e">
        <f t="shared" si="59"/>
        <v>#VALUE!</v>
      </c>
      <c r="J82" s="47" t="e">
        <f t="shared" si="60"/>
        <v>#VALUE!</v>
      </c>
      <c r="K82" s="47" t="e">
        <f t="shared" si="61"/>
        <v>#VALUE!</v>
      </c>
      <c r="L82" s="49" t="e">
        <f t="shared" si="62"/>
        <v>#VALUE!</v>
      </c>
      <c r="M82" s="50" t="e">
        <f t="shared" si="63"/>
        <v>#VALUE!</v>
      </c>
      <c r="N82" s="51" t="e">
        <f t="shared" si="64"/>
        <v>#VALUE!</v>
      </c>
      <c r="O82" s="52" t="e">
        <f t="shared" si="65"/>
        <v>#VALUE!</v>
      </c>
      <c r="P82" s="28"/>
      <c r="R82" s="75"/>
    </row>
    <row r="83" spans="1:18" x14ac:dyDescent="0.45">
      <c r="A83" s="112">
        <f t="shared" si="55"/>
        <v>0</v>
      </c>
      <c r="B83" s="113" t="str">
        <f>IF(mtx_base_2!B32 = "","",mtx_base_2!B32)</f>
        <v/>
      </c>
      <c r="C83" s="113" t="str">
        <f>IF(mtx_base_2!C32 = "","",mtx_base_2!C32)</f>
        <v/>
      </c>
      <c r="D83" s="45" t="e">
        <f t="shared" si="43"/>
        <v>#DIV/0!</v>
      </c>
      <c r="E83" s="46" t="e">
        <f t="shared" si="44"/>
        <v>#DIV/0!</v>
      </c>
      <c r="F83" s="47" t="e">
        <f t="shared" si="56"/>
        <v>#DIV/0!</v>
      </c>
      <c r="G83" s="48" t="e">
        <f t="shared" si="57"/>
        <v>#VALUE!</v>
      </c>
      <c r="H83" s="48" t="e">
        <f t="shared" si="58"/>
        <v>#VALUE!</v>
      </c>
      <c r="I83" s="47" t="e">
        <f t="shared" si="59"/>
        <v>#VALUE!</v>
      </c>
      <c r="J83" s="47" t="e">
        <f t="shared" si="60"/>
        <v>#VALUE!</v>
      </c>
      <c r="K83" s="47" t="e">
        <f t="shared" si="61"/>
        <v>#VALUE!</v>
      </c>
      <c r="L83" s="49" t="e">
        <f t="shared" si="62"/>
        <v>#VALUE!</v>
      </c>
      <c r="M83" s="50" t="e">
        <f t="shared" si="63"/>
        <v>#VALUE!</v>
      </c>
      <c r="N83" s="51" t="e">
        <f t="shared" si="64"/>
        <v>#VALUE!</v>
      </c>
      <c r="O83" s="52" t="e">
        <f t="shared" si="65"/>
        <v>#VALUE!</v>
      </c>
      <c r="P83" s="28"/>
      <c r="R83" s="75"/>
    </row>
    <row r="84" spans="1:18" x14ac:dyDescent="0.45">
      <c r="A84" s="112">
        <f t="shared" si="55"/>
        <v>0</v>
      </c>
      <c r="B84" s="113" t="str">
        <f>IF(mtx_base_2!B33 = "","",mtx_base_2!B33)</f>
        <v/>
      </c>
      <c r="C84" s="113" t="str">
        <f>IF(mtx_base_2!C33 = "","",mtx_base_2!C33)</f>
        <v/>
      </c>
      <c r="D84" s="45" t="e">
        <f t="shared" si="43"/>
        <v>#DIV/0!</v>
      </c>
      <c r="E84" s="46" t="e">
        <f t="shared" si="44"/>
        <v>#DIV/0!</v>
      </c>
      <c r="F84" s="47" t="e">
        <f t="shared" si="56"/>
        <v>#DIV/0!</v>
      </c>
      <c r="G84" s="48" t="e">
        <f t="shared" si="57"/>
        <v>#VALUE!</v>
      </c>
      <c r="H84" s="48" t="e">
        <f t="shared" si="58"/>
        <v>#VALUE!</v>
      </c>
      <c r="I84" s="47" t="e">
        <f t="shared" si="59"/>
        <v>#VALUE!</v>
      </c>
      <c r="J84" s="47" t="e">
        <f t="shared" si="60"/>
        <v>#VALUE!</v>
      </c>
      <c r="K84" s="47" t="e">
        <f t="shared" si="61"/>
        <v>#VALUE!</v>
      </c>
      <c r="L84" s="49" t="e">
        <f t="shared" si="62"/>
        <v>#VALUE!</v>
      </c>
      <c r="M84" s="50" t="e">
        <f t="shared" si="63"/>
        <v>#VALUE!</v>
      </c>
      <c r="N84" s="51" t="e">
        <f t="shared" si="64"/>
        <v>#VALUE!</v>
      </c>
      <c r="O84" s="52" t="e">
        <f t="shared" si="65"/>
        <v>#VALUE!</v>
      </c>
      <c r="P84" s="28"/>
      <c r="R84" s="75"/>
    </row>
    <row r="85" spans="1:18" x14ac:dyDescent="0.45">
      <c r="A85" s="112">
        <f t="shared" si="55"/>
        <v>0</v>
      </c>
      <c r="B85" s="113" t="str">
        <f>IF(mtx_base_2!B34 = "","",mtx_base_2!B34)</f>
        <v/>
      </c>
      <c r="C85" s="113" t="str">
        <f>IF(mtx_base_2!C34 = "","",mtx_base_2!C34)</f>
        <v/>
      </c>
      <c r="D85" s="45" t="e">
        <f t="shared" si="43"/>
        <v>#DIV/0!</v>
      </c>
      <c r="E85" s="46" t="e">
        <f t="shared" si="44"/>
        <v>#DIV/0!</v>
      </c>
      <c r="F85" s="47" t="e">
        <f t="shared" si="56"/>
        <v>#DIV/0!</v>
      </c>
      <c r="G85" s="48" t="e">
        <f t="shared" si="57"/>
        <v>#VALUE!</v>
      </c>
      <c r="H85" s="48" t="e">
        <f t="shared" si="58"/>
        <v>#VALUE!</v>
      </c>
      <c r="I85" s="47" t="e">
        <f t="shared" si="59"/>
        <v>#VALUE!</v>
      </c>
      <c r="J85" s="47" t="e">
        <f t="shared" si="60"/>
        <v>#VALUE!</v>
      </c>
      <c r="K85" s="47" t="e">
        <f t="shared" si="61"/>
        <v>#VALUE!</v>
      </c>
      <c r="L85" s="49" t="e">
        <f t="shared" si="62"/>
        <v>#VALUE!</v>
      </c>
      <c r="M85" s="50" t="e">
        <f t="shared" si="63"/>
        <v>#VALUE!</v>
      </c>
      <c r="N85" s="51" t="e">
        <f t="shared" si="64"/>
        <v>#VALUE!</v>
      </c>
      <c r="O85" s="52" t="e">
        <f t="shared" si="65"/>
        <v>#VALUE!</v>
      </c>
      <c r="P85" s="28"/>
      <c r="R85" s="75"/>
    </row>
    <row r="86" spans="1:18" x14ac:dyDescent="0.45">
      <c r="A86" s="112">
        <f t="shared" si="55"/>
        <v>0</v>
      </c>
      <c r="B86" s="113" t="str">
        <f>IF(mtx_base_2!B35 = "","",mtx_base_2!B35)</f>
        <v/>
      </c>
      <c r="C86" s="113" t="str">
        <f>IF(mtx_base_2!C35 = "","",mtx_base_2!C35)</f>
        <v/>
      </c>
      <c r="D86" s="45" t="e">
        <f t="shared" si="43"/>
        <v>#DIV/0!</v>
      </c>
      <c r="E86" s="46" t="e">
        <f t="shared" si="44"/>
        <v>#DIV/0!</v>
      </c>
      <c r="F86" s="47" t="e">
        <f t="shared" si="56"/>
        <v>#DIV/0!</v>
      </c>
      <c r="G86" s="48" t="e">
        <f t="shared" si="57"/>
        <v>#VALUE!</v>
      </c>
      <c r="H86" s="48" t="e">
        <f t="shared" si="58"/>
        <v>#VALUE!</v>
      </c>
      <c r="I86" s="47" t="e">
        <f t="shared" si="59"/>
        <v>#VALUE!</v>
      </c>
      <c r="J86" s="47" t="e">
        <f t="shared" si="60"/>
        <v>#VALUE!</v>
      </c>
      <c r="K86" s="47" t="e">
        <f t="shared" si="61"/>
        <v>#VALUE!</v>
      </c>
      <c r="L86" s="49" t="e">
        <f t="shared" si="62"/>
        <v>#VALUE!</v>
      </c>
      <c r="M86" s="50" t="e">
        <f t="shared" si="63"/>
        <v>#VALUE!</v>
      </c>
      <c r="N86" s="51" t="e">
        <f t="shared" si="64"/>
        <v>#VALUE!</v>
      </c>
      <c r="O86" s="52" t="e">
        <f t="shared" si="65"/>
        <v>#VALUE!</v>
      </c>
      <c r="P86" s="28"/>
      <c r="R86" s="75"/>
    </row>
    <row r="87" spans="1:18" x14ac:dyDescent="0.45">
      <c r="A87" s="112">
        <f t="shared" si="55"/>
        <v>0</v>
      </c>
      <c r="B87" s="113" t="str">
        <f>IF(mtx_base_2!B36 = "","",mtx_base_2!B36)</f>
        <v/>
      </c>
      <c r="C87" s="113" t="str">
        <f>IF(mtx_base_2!C36 = "","",mtx_base_2!C36)</f>
        <v/>
      </c>
      <c r="D87" s="45" t="e">
        <f t="shared" si="43"/>
        <v>#DIV/0!</v>
      </c>
      <c r="E87" s="46" t="e">
        <f t="shared" si="44"/>
        <v>#DIV/0!</v>
      </c>
      <c r="F87" s="47" t="e">
        <f t="shared" si="56"/>
        <v>#DIV/0!</v>
      </c>
      <c r="G87" s="48" t="e">
        <f t="shared" si="57"/>
        <v>#VALUE!</v>
      </c>
      <c r="H87" s="48" t="e">
        <f t="shared" si="58"/>
        <v>#VALUE!</v>
      </c>
      <c r="I87" s="47" t="e">
        <f t="shared" si="59"/>
        <v>#VALUE!</v>
      </c>
      <c r="J87" s="47" t="e">
        <f t="shared" si="60"/>
        <v>#VALUE!</v>
      </c>
      <c r="K87" s="47" t="e">
        <f t="shared" si="61"/>
        <v>#VALUE!</v>
      </c>
      <c r="L87" s="49" t="e">
        <f t="shared" si="62"/>
        <v>#VALUE!</v>
      </c>
      <c r="M87" s="50" t="e">
        <f t="shared" si="63"/>
        <v>#VALUE!</v>
      </c>
      <c r="N87" s="51" t="e">
        <f t="shared" si="64"/>
        <v>#VALUE!</v>
      </c>
      <c r="O87" s="52" t="e">
        <f t="shared" si="65"/>
        <v>#VALUE!</v>
      </c>
      <c r="P87" s="28"/>
      <c r="R87" s="75"/>
    </row>
    <row r="88" spans="1:18" x14ac:dyDescent="0.45">
      <c r="A88" s="112">
        <f t="shared" si="55"/>
        <v>0</v>
      </c>
      <c r="B88" s="113" t="str">
        <f>IF(mtx_base_2!B37 = "","",mtx_base_2!B37)</f>
        <v/>
      </c>
      <c r="C88" s="113" t="str">
        <f>IF(mtx_base_2!C37 = "","",mtx_base_2!C37)</f>
        <v/>
      </c>
      <c r="D88" s="45" t="e">
        <f t="shared" si="43"/>
        <v>#DIV/0!</v>
      </c>
      <c r="E88" s="46" t="e">
        <f t="shared" si="44"/>
        <v>#DIV/0!</v>
      </c>
      <c r="F88" s="47" t="e">
        <f t="shared" si="56"/>
        <v>#DIV/0!</v>
      </c>
      <c r="G88" s="48" t="e">
        <f t="shared" si="57"/>
        <v>#VALUE!</v>
      </c>
      <c r="H88" s="48" t="e">
        <f t="shared" si="58"/>
        <v>#VALUE!</v>
      </c>
      <c r="I88" s="47" t="e">
        <f t="shared" si="59"/>
        <v>#VALUE!</v>
      </c>
      <c r="J88" s="47" t="e">
        <f t="shared" si="60"/>
        <v>#VALUE!</v>
      </c>
      <c r="K88" s="47" t="e">
        <f t="shared" si="61"/>
        <v>#VALUE!</v>
      </c>
      <c r="L88" s="49" t="e">
        <f t="shared" si="62"/>
        <v>#VALUE!</v>
      </c>
      <c r="M88" s="50" t="e">
        <f t="shared" si="63"/>
        <v>#VALUE!</v>
      </c>
      <c r="N88" s="51" t="e">
        <f t="shared" si="64"/>
        <v>#VALUE!</v>
      </c>
      <c r="O88" s="52" t="e">
        <f t="shared" si="65"/>
        <v>#VALUE!</v>
      </c>
      <c r="P88" s="28"/>
      <c r="R88" s="75"/>
    </row>
    <row r="89" spans="1:18" x14ac:dyDescent="0.45">
      <c r="A89" s="112">
        <f t="shared" si="55"/>
        <v>0</v>
      </c>
      <c r="B89" s="113" t="str">
        <f>IF(mtx_base_2!B38 = "","",mtx_base_2!B38)</f>
        <v/>
      </c>
      <c r="C89" s="113" t="str">
        <f>IF(mtx_base_2!C38 = "","",mtx_base_2!C38)</f>
        <v/>
      </c>
      <c r="D89" s="45" t="e">
        <f t="shared" si="43"/>
        <v>#DIV/0!</v>
      </c>
      <c r="E89" s="46" t="e">
        <f t="shared" si="44"/>
        <v>#DIV/0!</v>
      </c>
      <c r="F89" s="47" t="e">
        <f t="shared" si="56"/>
        <v>#DIV/0!</v>
      </c>
      <c r="G89" s="48" t="e">
        <f t="shared" si="57"/>
        <v>#VALUE!</v>
      </c>
      <c r="H89" s="48" t="e">
        <f t="shared" si="58"/>
        <v>#VALUE!</v>
      </c>
      <c r="I89" s="47" t="e">
        <f t="shared" si="59"/>
        <v>#VALUE!</v>
      </c>
      <c r="J89" s="47" t="e">
        <f t="shared" si="60"/>
        <v>#VALUE!</v>
      </c>
      <c r="K89" s="47" t="e">
        <f t="shared" si="61"/>
        <v>#VALUE!</v>
      </c>
      <c r="L89" s="49" t="e">
        <f t="shared" si="62"/>
        <v>#VALUE!</v>
      </c>
      <c r="M89" s="50" t="e">
        <f t="shared" si="63"/>
        <v>#VALUE!</v>
      </c>
      <c r="N89" s="51" t="e">
        <f t="shared" si="64"/>
        <v>#VALUE!</v>
      </c>
      <c r="O89" s="52" t="e">
        <f t="shared" si="65"/>
        <v>#VALUE!</v>
      </c>
      <c r="P89" s="28"/>
      <c r="R89" s="75"/>
    </row>
    <row r="90" spans="1:18" x14ac:dyDescent="0.45">
      <c r="A90" s="112">
        <f t="shared" si="55"/>
        <v>0</v>
      </c>
      <c r="B90" s="113" t="str">
        <f>IF(mtx_base_2!B39 = "","",mtx_base_2!B39)</f>
        <v/>
      </c>
      <c r="C90" s="113" t="str">
        <f>IF(mtx_base_2!C39 = "","",mtx_base_2!C39)</f>
        <v/>
      </c>
      <c r="D90" s="45" t="e">
        <f t="shared" si="43"/>
        <v>#DIV/0!</v>
      </c>
      <c r="E90" s="46" t="e">
        <f t="shared" si="44"/>
        <v>#DIV/0!</v>
      </c>
      <c r="F90" s="47" t="e">
        <f t="shared" si="56"/>
        <v>#DIV/0!</v>
      </c>
      <c r="G90" s="48" t="e">
        <f t="shared" si="57"/>
        <v>#VALUE!</v>
      </c>
      <c r="H90" s="48" t="e">
        <f t="shared" si="58"/>
        <v>#VALUE!</v>
      </c>
      <c r="I90" s="47" t="e">
        <f t="shared" si="59"/>
        <v>#VALUE!</v>
      </c>
      <c r="J90" s="47" t="e">
        <f t="shared" si="60"/>
        <v>#VALUE!</v>
      </c>
      <c r="K90" s="47" t="e">
        <f t="shared" si="61"/>
        <v>#VALUE!</v>
      </c>
      <c r="L90" s="49" t="e">
        <f t="shared" si="62"/>
        <v>#VALUE!</v>
      </c>
      <c r="M90" s="50" t="e">
        <f t="shared" si="63"/>
        <v>#VALUE!</v>
      </c>
      <c r="N90" s="51" t="e">
        <f t="shared" si="64"/>
        <v>#VALUE!</v>
      </c>
      <c r="O90" s="52" t="e">
        <f t="shared" si="65"/>
        <v>#VALUE!</v>
      </c>
      <c r="P90" s="28"/>
      <c r="R90" s="75"/>
    </row>
    <row r="91" spans="1:18" x14ac:dyDescent="0.45">
      <c r="A91" s="112">
        <f t="shared" si="55"/>
        <v>0</v>
      </c>
      <c r="B91" s="113" t="str">
        <f>IF(mtx_base_2!B40 = "","",mtx_base_2!B40)</f>
        <v/>
      </c>
      <c r="C91" s="113" t="str">
        <f>IF(mtx_base_2!C40 = "","",mtx_base_2!C40)</f>
        <v/>
      </c>
      <c r="D91" s="45" t="e">
        <f t="shared" si="43"/>
        <v>#DIV/0!</v>
      </c>
      <c r="E91" s="46" t="e">
        <f t="shared" si="44"/>
        <v>#DIV/0!</v>
      </c>
      <c r="F91" s="47" t="e">
        <f t="shared" si="56"/>
        <v>#DIV/0!</v>
      </c>
      <c r="G91" s="48" t="e">
        <f t="shared" si="57"/>
        <v>#VALUE!</v>
      </c>
      <c r="H91" s="48" t="e">
        <f t="shared" si="58"/>
        <v>#VALUE!</v>
      </c>
      <c r="I91" s="47" t="e">
        <f t="shared" si="59"/>
        <v>#VALUE!</v>
      </c>
      <c r="J91" s="47" t="e">
        <f t="shared" si="60"/>
        <v>#VALUE!</v>
      </c>
      <c r="K91" s="47" t="e">
        <f t="shared" si="61"/>
        <v>#VALUE!</v>
      </c>
      <c r="L91" s="49" t="e">
        <f t="shared" si="62"/>
        <v>#VALUE!</v>
      </c>
      <c r="M91" s="50" t="e">
        <f t="shared" si="63"/>
        <v>#VALUE!</v>
      </c>
      <c r="N91" s="51" t="e">
        <f t="shared" si="64"/>
        <v>#VALUE!</v>
      </c>
      <c r="O91" s="52" t="e">
        <f t="shared" si="65"/>
        <v>#VALUE!</v>
      </c>
      <c r="P91" s="28"/>
      <c r="R91" s="75"/>
    </row>
    <row r="92" spans="1:18" x14ac:dyDescent="0.45">
      <c r="A92" s="112">
        <f t="shared" si="55"/>
        <v>0</v>
      </c>
      <c r="B92" s="113" t="str">
        <f>IF(mtx_base_2!B41 = "","",mtx_base_2!B41)</f>
        <v/>
      </c>
      <c r="C92" s="113" t="str">
        <f>IF(mtx_base_2!C41 = "","",mtx_base_2!C41)</f>
        <v/>
      </c>
      <c r="D92" s="45" t="e">
        <f t="shared" si="43"/>
        <v>#DIV/0!</v>
      </c>
      <c r="E92" s="46" t="e">
        <f t="shared" si="44"/>
        <v>#DIV/0!</v>
      </c>
      <c r="F92" s="47" t="e">
        <f t="shared" si="56"/>
        <v>#DIV/0!</v>
      </c>
      <c r="G92" s="48" t="e">
        <f t="shared" si="57"/>
        <v>#VALUE!</v>
      </c>
      <c r="H92" s="48" t="e">
        <f t="shared" si="58"/>
        <v>#VALUE!</v>
      </c>
      <c r="I92" s="47" t="e">
        <f t="shared" si="59"/>
        <v>#VALUE!</v>
      </c>
      <c r="J92" s="47" t="e">
        <f t="shared" si="60"/>
        <v>#VALUE!</v>
      </c>
      <c r="K92" s="47" t="e">
        <f t="shared" si="61"/>
        <v>#VALUE!</v>
      </c>
      <c r="L92" s="49" t="e">
        <f t="shared" si="62"/>
        <v>#VALUE!</v>
      </c>
      <c r="M92" s="50" t="e">
        <f t="shared" si="63"/>
        <v>#VALUE!</v>
      </c>
      <c r="N92" s="51" t="e">
        <f t="shared" si="64"/>
        <v>#VALUE!</v>
      </c>
      <c r="O92" s="52" t="e">
        <f t="shared" si="65"/>
        <v>#VALUE!</v>
      </c>
      <c r="P92" s="28"/>
      <c r="R92" s="75"/>
    </row>
    <row r="93" spans="1:18" x14ac:dyDescent="0.45">
      <c r="A93" s="112">
        <f t="shared" si="55"/>
        <v>0</v>
      </c>
      <c r="B93" s="113" t="str">
        <f>IF(mtx_base_2!B42 = "","",mtx_base_2!B42)</f>
        <v/>
      </c>
      <c r="C93" s="113" t="str">
        <f>IF(mtx_base_2!C42 = "","",mtx_base_2!C42)</f>
        <v/>
      </c>
      <c r="D93" s="45" t="e">
        <f t="shared" si="43"/>
        <v>#DIV/0!</v>
      </c>
      <c r="E93" s="46" t="e">
        <f t="shared" si="44"/>
        <v>#DIV/0!</v>
      </c>
      <c r="F93" s="47" t="e">
        <f t="shared" si="56"/>
        <v>#DIV/0!</v>
      </c>
      <c r="G93" s="48" t="e">
        <f t="shared" si="57"/>
        <v>#VALUE!</v>
      </c>
      <c r="H93" s="48" t="e">
        <f t="shared" si="58"/>
        <v>#VALUE!</v>
      </c>
      <c r="I93" s="47" t="e">
        <f t="shared" si="59"/>
        <v>#VALUE!</v>
      </c>
      <c r="J93" s="47" t="e">
        <f t="shared" si="60"/>
        <v>#VALUE!</v>
      </c>
      <c r="K93" s="47" t="e">
        <f t="shared" si="61"/>
        <v>#VALUE!</v>
      </c>
      <c r="L93" s="49" t="e">
        <f t="shared" si="62"/>
        <v>#VALUE!</v>
      </c>
      <c r="M93" s="50" t="e">
        <f t="shared" si="63"/>
        <v>#VALUE!</v>
      </c>
      <c r="N93" s="51" t="e">
        <f t="shared" si="64"/>
        <v>#VALUE!</v>
      </c>
      <c r="O93" s="52" t="e">
        <f t="shared" si="65"/>
        <v>#VALUE!</v>
      </c>
      <c r="P93" s="28"/>
      <c r="R93" s="75"/>
    </row>
    <row r="94" spans="1:18" x14ac:dyDescent="0.45">
      <c r="A94" s="112">
        <f t="shared" si="55"/>
        <v>0</v>
      </c>
      <c r="B94" s="113" t="str">
        <f>IF(mtx_base_2!B43 = "","",mtx_base_2!B43)</f>
        <v/>
      </c>
      <c r="C94" s="113" t="str">
        <f>IF(mtx_base_2!C43 = "","",mtx_base_2!C43)</f>
        <v/>
      </c>
      <c r="D94" s="45" t="e">
        <f t="shared" si="43"/>
        <v>#DIV/0!</v>
      </c>
      <c r="E94" s="46" t="e">
        <f t="shared" si="44"/>
        <v>#DIV/0!</v>
      </c>
      <c r="F94" s="47" t="e">
        <f t="shared" si="56"/>
        <v>#DIV/0!</v>
      </c>
      <c r="G94" s="48" t="e">
        <f t="shared" si="57"/>
        <v>#VALUE!</v>
      </c>
      <c r="H94" s="48" t="e">
        <f t="shared" si="58"/>
        <v>#VALUE!</v>
      </c>
      <c r="I94" s="47" t="e">
        <f t="shared" si="59"/>
        <v>#VALUE!</v>
      </c>
      <c r="J94" s="47" t="e">
        <f t="shared" si="60"/>
        <v>#VALUE!</v>
      </c>
      <c r="K94" s="47" t="e">
        <f t="shared" si="61"/>
        <v>#VALUE!</v>
      </c>
      <c r="L94" s="49" t="e">
        <f t="shared" si="62"/>
        <v>#VALUE!</v>
      </c>
      <c r="M94" s="50" t="e">
        <f t="shared" si="63"/>
        <v>#VALUE!</v>
      </c>
      <c r="N94" s="51" t="e">
        <f t="shared" si="64"/>
        <v>#VALUE!</v>
      </c>
      <c r="O94" s="52" t="e">
        <f t="shared" si="65"/>
        <v>#VALUE!</v>
      </c>
      <c r="P94" s="28"/>
      <c r="R94" s="75"/>
    </row>
    <row r="95" spans="1:18" x14ac:dyDescent="0.45">
      <c r="A95" s="112">
        <f t="shared" si="55"/>
        <v>0</v>
      </c>
      <c r="B95" s="113" t="str">
        <f>IF(mtx_base_2!B44 = "","",mtx_base_2!B44)</f>
        <v/>
      </c>
      <c r="C95" s="113" t="str">
        <f>IF(mtx_base_2!C44 = "","",mtx_base_2!C44)</f>
        <v/>
      </c>
      <c r="D95" s="45" t="e">
        <f t="shared" si="43"/>
        <v>#DIV/0!</v>
      </c>
      <c r="E95" s="46" t="e">
        <f t="shared" si="44"/>
        <v>#DIV/0!</v>
      </c>
      <c r="F95" s="47" t="e">
        <f t="shared" ref="F95" si="66">IF(AND(B95&lt;D95,C95&lt;E95),"Blue",(IF(AND(B95&lt;D95,C95&gt;E95),"Red",(IF(AND(B95&gt;D95,C95&gt;E95),"Green",(IF(AND(B95&gt;D95,C95&lt;E95),"Yellow")))))))</f>
        <v>#DIV/0!</v>
      </c>
      <c r="G95" s="48" t="e">
        <f t="shared" ref="G95" si="67">B95-D95</f>
        <v>#VALUE!</v>
      </c>
      <c r="H95" s="48" t="e">
        <f t="shared" ref="H95:H119" si="68">C95-E95</f>
        <v>#VALUE!</v>
      </c>
      <c r="I95" s="47" t="e">
        <f t="shared" ref="I95" si="69">IF((ABS(G95)&lt;$E$66),"TIE",F95)</f>
        <v>#VALUE!</v>
      </c>
      <c r="J95" s="47" t="e">
        <f t="shared" ref="J95" si="70">IF((ABS(H95)&lt;$F$66),"TIE",F95)</f>
        <v>#VALUE!</v>
      </c>
      <c r="K95" s="47" t="e">
        <f t="shared" ref="K95" si="71">IF(AND(I95&lt;&gt;"TIE",J95&lt;&gt;"TIE"),F95,"TIE")</f>
        <v>#VALUE!</v>
      </c>
      <c r="L95" s="49" t="e">
        <f t="shared" ref="L95" si="72">IF(AND(I95="TIE",C95&gt;E95),"Red/Green",(IF(AND(I95="TIE",C95&lt;E95),"Blue/Yellow",(IF(AND(B95&lt;D95,J95="TIE"),"Red/Blue",(IF(AND(B95&gt;D95,J95="TIE"),"Green/Yellow")))))))</f>
        <v>#VALUE!</v>
      </c>
      <c r="M95" s="50" t="e">
        <f t="shared" ref="M95" si="73">IF(AND(I95="TIE",J95="TIE"),"Four Way Tie",IF(L95=FALSE,K95,L95))</f>
        <v>#VALUE!</v>
      </c>
      <c r="N95" s="51" t="e">
        <f t="shared" ref="N95:O95" si="74">M95</f>
        <v>#VALUE!</v>
      </c>
      <c r="O95" s="52" t="e">
        <f t="shared" si="74"/>
        <v>#VALUE!</v>
      </c>
      <c r="P95" s="28"/>
      <c r="R95" s="75"/>
    </row>
    <row r="96" spans="1:18" x14ac:dyDescent="0.45">
      <c r="A96" s="112">
        <f t="shared" si="55"/>
        <v>0</v>
      </c>
      <c r="B96" s="113" t="str">
        <f>IF(mtx_base_2!B45 = "","",mtx_base_2!B45)</f>
        <v/>
      </c>
      <c r="C96" s="113" t="str">
        <f>IF(mtx_base_2!C45 = "","",mtx_base_2!C45)</f>
        <v/>
      </c>
      <c r="D96" s="45" t="e">
        <f>$B$65</f>
        <v>#DIV/0!</v>
      </c>
      <c r="E96" s="46" t="e">
        <f t="shared" ref="E96:E119" si="75">$C$65</f>
        <v>#DIV/0!</v>
      </c>
      <c r="F96" s="47" t="e">
        <f t="shared" ref="F96:F119" si="76">IF(AND(B96&lt;D96,C96&lt;E96),"Blue",(IF(AND(B96&lt;D96,C96&gt;E96),"Red",(IF(AND(B96&gt;D96,C96&gt;E96),"Green",(IF(AND(B96&gt;D96,C96&lt;E96),"Yellow")))))))</f>
        <v>#DIV/0!</v>
      </c>
      <c r="G96" s="48" t="e">
        <f t="shared" ref="G96:G116" si="77">B96-D96</f>
        <v>#VALUE!</v>
      </c>
      <c r="H96" s="48" t="e">
        <f t="shared" si="68"/>
        <v>#VALUE!</v>
      </c>
      <c r="I96" s="47" t="e">
        <f t="shared" ref="I96:I119" si="78">IF((ABS(G96)&lt;$E$66),"TIE",F96)</f>
        <v>#VALUE!</v>
      </c>
      <c r="J96" s="47" t="e">
        <f t="shared" ref="J96:J119" si="79">IF((ABS(H96)&lt;$F$66),"TIE",F96)</f>
        <v>#VALUE!</v>
      </c>
      <c r="K96" s="47" t="e">
        <f t="shared" ref="K96:K119" si="80">IF(AND(I96&lt;&gt;"TIE",J96&lt;&gt;"TIE"),F96,"TIE")</f>
        <v>#VALUE!</v>
      </c>
      <c r="L96" s="49" t="e">
        <f t="shared" ref="L96:L119" si="81">IF(AND(I96="TIE",C96&gt;E96),"Red/Green",(IF(AND(I96="TIE",C96&lt;E96),"Blue/Yellow",(IF(AND(B96&lt;D96,J96="TIE"),"Red/Blue",(IF(AND(B96&gt;D96,J96="TIE"),"Green/Yellow")))))))</f>
        <v>#VALUE!</v>
      </c>
      <c r="M96" s="50" t="e">
        <f t="shared" ref="M96:M119" si="82">IF(AND(I96="TIE",J96="TIE"),"Four Way Tie",IF(L96=FALSE,K96,L96))</f>
        <v>#VALUE!</v>
      </c>
      <c r="N96" s="51" t="e">
        <f t="shared" ref="N96:O111" si="83">M96</f>
        <v>#VALUE!</v>
      </c>
      <c r="O96" s="52" t="e">
        <f t="shared" si="83"/>
        <v>#VALUE!</v>
      </c>
      <c r="P96" s="28"/>
      <c r="R96" s="75"/>
    </row>
    <row r="97" spans="1:18" x14ac:dyDescent="0.45">
      <c r="A97" s="112">
        <f t="shared" si="55"/>
        <v>0</v>
      </c>
      <c r="B97" s="113" t="str">
        <f>IF(mtx_base_2!B46 = "","",mtx_base_2!B46)</f>
        <v/>
      </c>
      <c r="C97" s="113" t="str">
        <f>IF(mtx_base_2!C46 = "","",mtx_base_2!C46)</f>
        <v/>
      </c>
      <c r="D97" s="45" t="e">
        <f t="shared" ref="D97:D119" si="84">$B$65</f>
        <v>#DIV/0!</v>
      </c>
      <c r="E97" s="46" t="e">
        <f t="shared" si="75"/>
        <v>#DIV/0!</v>
      </c>
      <c r="F97" s="47" t="e">
        <f t="shared" si="76"/>
        <v>#DIV/0!</v>
      </c>
      <c r="G97" s="48" t="e">
        <f t="shared" si="77"/>
        <v>#VALUE!</v>
      </c>
      <c r="H97" s="48" t="e">
        <f t="shared" si="68"/>
        <v>#VALUE!</v>
      </c>
      <c r="I97" s="47" t="e">
        <f t="shared" si="78"/>
        <v>#VALUE!</v>
      </c>
      <c r="J97" s="47" t="e">
        <f t="shared" si="79"/>
        <v>#VALUE!</v>
      </c>
      <c r="K97" s="47" t="e">
        <f t="shared" si="80"/>
        <v>#VALUE!</v>
      </c>
      <c r="L97" s="49" t="e">
        <f t="shared" si="81"/>
        <v>#VALUE!</v>
      </c>
      <c r="M97" s="50" t="e">
        <f t="shared" si="82"/>
        <v>#VALUE!</v>
      </c>
      <c r="N97" s="51" t="e">
        <f t="shared" si="83"/>
        <v>#VALUE!</v>
      </c>
      <c r="O97" s="52" t="e">
        <f t="shared" si="83"/>
        <v>#VALUE!</v>
      </c>
      <c r="P97" s="28"/>
      <c r="R97" s="75"/>
    </row>
    <row r="98" spans="1:18" x14ac:dyDescent="0.45">
      <c r="A98" s="112">
        <f t="shared" si="55"/>
        <v>0</v>
      </c>
      <c r="B98" s="113" t="str">
        <f>IF(mtx_base_2!B47 = "","",mtx_base_2!B47)</f>
        <v/>
      </c>
      <c r="C98" s="113" t="str">
        <f>IF(mtx_base_2!C47 = "","",mtx_base_2!C47)</f>
        <v/>
      </c>
      <c r="D98" s="45" t="e">
        <f t="shared" si="84"/>
        <v>#DIV/0!</v>
      </c>
      <c r="E98" s="46" t="e">
        <f t="shared" si="75"/>
        <v>#DIV/0!</v>
      </c>
      <c r="F98" s="47" t="e">
        <f t="shared" si="76"/>
        <v>#DIV/0!</v>
      </c>
      <c r="G98" s="48" t="e">
        <f t="shared" si="77"/>
        <v>#VALUE!</v>
      </c>
      <c r="H98" s="48" t="e">
        <f t="shared" si="68"/>
        <v>#VALUE!</v>
      </c>
      <c r="I98" s="47" t="e">
        <f t="shared" si="78"/>
        <v>#VALUE!</v>
      </c>
      <c r="J98" s="47" t="e">
        <f t="shared" si="79"/>
        <v>#VALUE!</v>
      </c>
      <c r="K98" s="47" t="e">
        <f t="shared" si="80"/>
        <v>#VALUE!</v>
      </c>
      <c r="L98" s="49" t="e">
        <f t="shared" si="81"/>
        <v>#VALUE!</v>
      </c>
      <c r="M98" s="50" t="e">
        <f t="shared" si="82"/>
        <v>#VALUE!</v>
      </c>
      <c r="N98" s="51" t="e">
        <f t="shared" si="83"/>
        <v>#VALUE!</v>
      </c>
      <c r="O98" s="52" t="e">
        <f t="shared" si="83"/>
        <v>#VALUE!</v>
      </c>
      <c r="P98" s="28"/>
      <c r="R98" s="75"/>
    </row>
    <row r="99" spans="1:18" x14ac:dyDescent="0.45">
      <c r="A99" s="112">
        <f t="shared" si="55"/>
        <v>0</v>
      </c>
      <c r="B99" s="113" t="str">
        <f>IF(mtx_base_2!B48 = "","",mtx_base_2!B48)</f>
        <v/>
      </c>
      <c r="C99" s="113" t="str">
        <f>IF(mtx_base_2!C48 = "","",mtx_base_2!C48)</f>
        <v/>
      </c>
      <c r="D99" s="45" t="e">
        <f t="shared" si="84"/>
        <v>#DIV/0!</v>
      </c>
      <c r="E99" s="46" t="e">
        <f t="shared" si="75"/>
        <v>#DIV/0!</v>
      </c>
      <c r="F99" s="47" t="e">
        <f t="shared" si="76"/>
        <v>#DIV/0!</v>
      </c>
      <c r="G99" s="48" t="e">
        <f t="shared" si="77"/>
        <v>#VALUE!</v>
      </c>
      <c r="H99" s="48" t="e">
        <f t="shared" si="68"/>
        <v>#VALUE!</v>
      </c>
      <c r="I99" s="47" t="e">
        <f t="shared" si="78"/>
        <v>#VALUE!</v>
      </c>
      <c r="J99" s="47" t="e">
        <f t="shared" si="79"/>
        <v>#VALUE!</v>
      </c>
      <c r="K99" s="47" t="e">
        <f t="shared" si="80"/>
        <v>#VALUE!</v>
      </c>
      <c r="L99" s="49" t="e">
        <f t="shared" si="81"/>
        <v>#VALUE!</v>
      </c>
      <c r="M99" s="50" t="e">
        <f t="shared" si="82"/>
        <v>#VALUE!</v>
      </c>
      <c r="N99" s="51" t="e">
        <f t="shared" si="83"/>
        <v>#VALUE!</v>
      </c>
      <c r="O99" s="52" t="e">
        <f t="shared" si="83"/>
        <v>#VALUE!</v>
      </c>
      <c r="P99" s="28"/>
      <c r="R99" s="75"/>
    </row>
    <row r="100" spans="1:18" x14ac:dyDescent="0.45">
      <c r="A100" s="112">
        <f t="shared" si="55"/>
        <v>0</v>
      </c>
      <c r="B100" s="113" t="str">
        <f>IF(mtx_base_2!B49 = "","",mtx_base_2!B49)</f>
        <v/>
      </c>
      <c r="C100" s="113" t="str">
        <f>IF(mtx_base_2!C49 = "","",mtx_base_2!C49)</f>
        <v/>
      </c>
      <c r="D100" s="45" t="e">
        <f t="shared" si="84"/>
        <v>#DIV/0!</v>
      </c>
      <c r="E100" s="46" t="e">
        <f t="shared" si="75"/>
        <v>#DIV/0!</v>
      </c>
      <c r="F100" s="47" t="e">
        <f t="shared" si="76"/>
        <v>#DIV/0!</v>
      </c>
      <c r="G100" s="48" t="e">
        <f t="shared" si="77"/>
        <v>#VALUE!</v>
      </c>
      <c r="H100" s="48" t="e">
        <f t="shared" si="68"/>
        <v>#VALUE!</v>
      </c>
      <c r="I100" s="47" t="e">
        <f t="shared" si="78"/>
        <v>#VALUE!</v>
      </c>
      <c r="J100" s="47" t="e">
        <f t="shared" si="79"/>
        <v>#VALUE!</v>
      </c>
      <c r="K100" s="47" t="e">
        <f t="shared" si="80"/>
        <v>#VALUE!</v>
      </c>
      <c r="L100" s="49" t="e">
        <f t="shared" si="81"/>
        <v>#VALUE!</v>
      </c>
      <c r="M100" s="50" t="e">
        <f t="shared" si="82"/>
        <v>#VALUE!</v>
      </c>
      <c r="N100" s="51" t="e">
        <f t="shared" si="83"/>
        <v>#VALUE!</v>
      </c>
      <c r="O100" s="52" t="e">
        <f t="shared" si="83"/>
        <v>#VALUE!</v>
      </c>
      <c r="P100" s="28"/>
      <c r="R100" s="75"/>
    </row>
    <row r="101" spans="1:18" x14ac:dyDescent="0.45">
      <c r="A101" s="112">
        <f t="shared" si="55"/>
        <v>0</v>
      </c>
      <c r="B101" s="113" t="str">
        <f>IF(mtx_base_2!B50 = "","",mtx_base_2!B50)</f>
        <v/>
      </c>
      <c r="C101" s="113" t="str">
        <f>IF(mtx_base_2!C50 = "","",mtx_base_2!C50)</f>
        <v/>
      </c>
      <c r="D101" s="45" t="e">
        <f t="shared" si="84"/>
        <v>#DIV/0!</v>
      </c>
      <c r="E101" s="46" t="e">
        <f t="shared" si="75"/>
        <v>#DIV/0!</v>
      </c>
      <c r="F101" s="47" t="e">
        <f t="shared" si="76"/>
        <v>#DIV/0!</v>
      </c>
      <c r="G101" s="48" t="e">
        <f t="shared" si="77"/>
        <v>#VALUE!</v>
      </c>
      <c r="H101" s="48" t="e">
        <f t="shared" si="68"/>
        <v>#VALUE!</v>
      </c>
      <c r="I101" s="47" t="e">
        <f t="shared" si="78"/>
        <v>#VALUE!</v>
      </c>
      <c r="J101" s="47" t="e">
        <f t="shared" si="79"/>
        <v>#VALUE!</v>
      </c>
      <c r="K101" s="47" t="e">
        <f t="shared" si="80"/>
        <v>#VALUE!</v>
      </c>
      <c r="L101" s="49" t="e">
        <f t="shared" si="81"/>
        <v>#VALUE!</v>
      </c>
      <c r="M101" s="50" t="e">
        <f t="shared" si="82"/>
        <v>#VALUE!</v>
      </c>
      <c r="N101" s="51" t="e">
        <f t="shared" si="83"/>
        <v>#VALUE!</v>
      </c>
      <c r="O101" s="52" t="e">
        <f t="shared" si="83"/>
        <v>#VALUE!</v>
      </c>
      <c r="P101" s="28"/>
      <c r="R101" s="75"/>
    </row>
    <row r="102" spans="1:18" x14ac:dyDescent="0.45">
      <c r="A102" s="112">
        <f t="shared" si="55"/>
        <v>0</v>
      </c>
      <c r="B102" s="113" t="str">
        <f>IF(mtx_base_2!B51 = "","",mtx_base_2!B51)</f>
        <v/>
      </c>
      <c r="C102" s="113" t="str">
        <f>IF(mtx_base_2!C51 = "","",mtx_base_2!C51)</f>
        <v/>
      </c>
      <c r="D102" s="45" t="e">
        <f t="shared" si="84"/>
        <v>#DIV/0!</v>
      </c>
      <c r="E102" s="46" t="e">
        <f t="shared" si="75"/>
        <v>#DIV/0!</v>
      </c>
      <c r="F102" s="47" t="e">
        <f t="shared" si="76"/>
        <v>#DIV/0!</v>
      </c>
      <c r="G102" s="48" t="e">
        <f t="shared" si="77"/>
        <v>#VALUE!</v>
      </c>
      <c r="H102" s="48" t="e">
        <f t="shared" si="68"/>
        <v>#VALUE!</v>
      </c>
      <c r="I102" s="47" t="e">
        <f t="shared" si="78"/>
        <v>#VALUE!</v>
      </c>
      <c r="J102" s="47" t="e">
        <f t="shared" si="79"/>
        <v>#VALUE!</v>
      </c>
      <c r="K102" s="47" t="e">
        <f t="shared" si="80"/>
        <v>#VALUE!</v>
      </c>
      <c r="L102" s="49" t="e">
        <f t="shared" si="81"/>
        <v>#VALUE!</v>
      </c>
      <c r="M102" s="50" t="e">
        <f t="shared" si="82"/>
        <v>#VALUE!</v>
      </c>
      <c r="N102" s="51" t="e">
        <f t="shared" si="83"/>
        <v>#VALUE!</v>
      </c>
      <c r="O102" s="52" t="e">
        <f t="shared" si="83"/>
        <v>#VALUE!</v>
      </c>
      <c r="P102" s="28"/>
      <c r="R102" s="75"/>
    </row>
    <row r="103" spans="1:18" x14ac:dyDescent="0.45">
      <c r="A103" s="112">
        <f t="shared" si="55"/>
        <v>0</v>
      </c>
      <c r="B103" s="113" t="str">
        <f>IF(mtx_base_2!B52 = "","",mtx_base_2!B52)</f>
        <v/>
      </c>
      <c r="C103" s="113" t="str">
        <f>IF(mtx_base_2!C52 = "","",mtx_base_2!C52)</f>
        <v/>
      </c>
      <c r="D103" s="45" t="e">
        <f t="shared" si="84"/>
        <v>#DIV/0!</v>
      </c>
      <c r="E103" s="46" t="e">
        <f t="shared" si="75"/>
        <v>#DIV/0!</v>
      </c>
      <c r="F103" s="47" t="e">
        <f>IF(AND(B103&lt;D103,C103&lt;E103),"Blue",(IF(AND(B103&lt;D103,C103&gt;E103),"Red",(IF(AND(B103&gt;D103,C103&gt;E103),"Green",(IF(AND(B103&gt;D103,C103&lt;E103),"Yellow")))))))</f>
        <v>#DIV/0!</v>
      </c>
      <c r="G103" s="48" t="e">
        <f>B103-D103</f>
        <v>#VALUE!</v>
      </c>
      <c r="H103" s="48" t="e">
        <f t="shared" si="68"/>
        <v>#VALUE!</v>
      </c>
      <c r="I103" s="47" t="e">
        <f>IF((ABS(G103)&lt;$E$66),"TIE",F103)</f>
        <v>#VALUE!</v>
      </c>
      <c r="J103" s="47" t="e">
        <f>IF((ABS(H103)&lt;$F$66),"TIE",F103)</f>
        <v>#VALUE!</v>
      </c>
      <c r="K103" s="47" t="e">
        <f>IF(AND(I103&lt;&gt;"TIE",J103&lt;&gt;"TIE"),F103,"TIE")</f>
        <v>#VALUE!</v>
      </c>
      <c r="L103" s="49" t="e">
        <f>IF(AND(I103="TIE",C103&gt;E103),"Red/Green",(IF(AND(I103="TIE",C103&lt;E103),"Blue/Yellow",(IF(AND(B103&lt;D103,J103="TIE"),"Red/Blue",(IF(AND(B103&gt;D103,J103="TIE"),"Green/Yellow")))))))</f>
        <v>#VALUE!</v>
      </c>
      <c r="M103" s="50" t="e">
        <f>IF(AND(I103="TIE",J103="TIE"),"Four Way Tie",IF(L103=FALSE,K103,L103))</f>
        <v>#VALUE!</v>
      </c>
      <c r="N103" s="51" t="e">
        <f t="shared" si="83"/>
        <v>#VALUE!</v>
      </c>
      <c r="O103" s="52" t="e">
        <f t="shared" si="83"/>
        <v>#VALUE!</v>
      </c>
      <c r="P103" s="28"/>
      <c r="R103" s="75"/>
    </row>
    <row r="104" spans="1:18" x14ac:dyDescent="0.45">
      <c r="A104" s="112">
        <f t="shared" si="55"/>
        <v>0</v>
      </c>
      <c r="B104" s="113" t="str">
        <f>IF(mtx_base_2!B53 = "","",mtx_base_2!B53)</f>
        <v/>
      </c>
      <c r="C104" s="113" t="str">
        <f>IF(mtx_base_2!C53 = "","",mtx_base_2!C53)</f>
        <v/>
      </c>
      <c r="D104" s="45" t="e">
        <f t="shared" si="84"/>
        <v>#DIV/0!</v>
      </c>
      <c r="E104" s="46" t="e">
        <f t="shared" si="75"/>
        <v>#DIV/0!</v>
      </c>
      <c r="F104" s="47" t="e">
        <f t="shared" si="76"/>
        <v>#DIV/0!</v>
      </c>
      <c r="G104" s="48" t="e">
        <f t="shared" si="77"/>
        <v>#VALUE!</v>
      </c>
      <c r="H104" s="48" t="e">
        <f t="shared" si="68"/>
        <v>#VALUE!</v>
      </c>
      <c r="I104" s="47" t="e">
        <f t="shared" si="78"/>
        <v>#VALUE!</v>
      </c>
      <c r="J104" s="47" t="e">
        <f t="shared" si="79"/>
        <v>#VALUE!</v>
      </c>
      <c r="K104" s="47" t="e">
        <f t="shared" si="80"/>
        <v>#VALUE!</v>
      </c>
      <c r="L104" s="49" t="e">
        <f t="shared" si="81"/>
        <v>#VALUE!</v>
      </c>
      <c r="M104" s="50" t="e">
        <f t="shared" si="82"/>
        <v>#VALUE!</v>
      </c>
      <c r="N104" s="51" t="e">
        <f t="shared" si="83"/>
        <v>#VALUE!</v>
      </c>
      <c r="O104" s="52" t="e">
        <f t="shared" si="83"/>
        <v>#VALUE!</v>
      </c>
      <c r="P104" s="28"/>
      <c r="R104" s="75"/>
    </row>
    <row r="105" spans="1:18" x14ac:dyDescent="0.45">
      <c r="A105" s="112">
        <f t="shared" si="55"/>
        <v>0</v>
      </c>
      <c r="B105" s="113" t="str">
        <f>IF(mtx_base_2!B54 = "","",mtx_base_2!B54)</f>
        <v/>
      </c>
      <c r="C105" s="113" t="str">
        <f>IF(mtx_base_2!C54 = "","",mtx_base_2!C54)</f>
        <v/>
      </c>
      <c r="D105" s="45" t="e">
        <f t="shared" si="84"/>
        <v>#DIV/0!</v>
      </c>
      <c r="E105" s="46" t="e">
        <f t="shared" si="75"/>
        <v>#DIV/0!</v>
      </c>
      <c r="F105" s="47" t="e">
        <f t="shared" si="76"/>
        <v>#DIV/0!</v>
      </c>
      <c r="G105" s="48" t="e">
        <f t="shared" si="77"/>
        <v>#VALUE!</v>
      </c>
      <c r="H105" s="48" t="e">
        <f t="shared" si="68"/>
        <v>#VALUE!</v>
      </c>
      <c r="I105" s="47" t="e">
        <f t="shared" si="78"/>
        <v>#VALUE!</v>
      </c>
      <c r="J105" s="47" t="e">
        <f t="shared" si="79"/>
        <v>#VALUE!</v>
      </c>
      <c r="K105" s="47" t="e">
        <f t="shared" si="80"/>
        <v>#VALUE!</v>
      </c>
      <c r="L105" s="49" t="e">
        <f t="shared" si="81"/>
        <v>#VALUE!</v>
      </c>
      <c r="M105" s="50" t="e">
        <f t="shared" si="82"/>
        <v>#VALUE!</v>
      </c>
      <c r="N105" s="51" t="e">
        <f t="shared" si="83"/>
        <v>#VALUE!</v>
      </c>
      <c r="O105" s="52" t="e">
        <f t="shared" si="83"/>
        <v>#VALUE!</v>
      </c>
      <c r="P105" s="28"/>
      <c r="R105" s="75"/>
    </row>
    <row r="106" spans="1:18" x14ac:dyDescent="0.45">
      <c r="A106" s="112">
        <f t="shared" si="55"/>
        <v>0</v>
      </c>
      <c r="B106" s="113" t="str">
        <f>IF(mtx_base_2!B55 = "","",mtx_base_2!B55)</f>
        <v/>
      </c>
      <c r="C106" s="113" t="str">
        <f>IF(mtx_base_2!C55 = "","",mtx_base_2!C55)</f>
        <v/>
      </c>
      <c r="D106" s="45" t="e">
        <f t="shared" si="84"/>
        <v>#DIV/0!</v>
      </c>
      <c r="E106" s="46" t="e">
        <f t="shared" si="75"/>
        <v>#DIV/0!</v>
      </c>
      <c r="F106" s="47" t="e">
        <f t="shared" si="76"/>
        <v>#DIV/0!</v>
      </c>
      <c r="G106" s="48" t="e">
        <f t="shared" si="77"/>
        <v>#VALUE!</v>
      </c>
      <c r="H106" s="48" t="e">
        <f t="shared" si="68"/>
        <v>#VALUE!</v>
      </c>
      <c r="I106" s="47" t="e">
        <f t="shared" si="78"/>
        <v>#VALUE!</v>
      </c>
      <c r="J106" s="47" t="e">
        <f t="shared" si="79"/>
        <v>#VALUE!</v>
      </c>
      <c r="K106" s="47" t="e">
        <f t="shared" si="80"/>
        <v>#VALUE!</v>
      </c>
      <c r="L106" s="49" t="e">
        <f t="shared" si="81"/>
        <v>#VALUE!</v>
      </c>
      <c r="M106" s="50" t="e">
        <f t="shared" si="82"/>
        <v>#VALUE!</v>
      </c>
      <c r="N106" s="51" t="e">
        <f t="shared" si="83"/>
        <v>#VALUE!</v>
      </c>
      <c r="O106" s="52" t="e">
        <f t="shared" si="83"/>
        <v>#VALUE!</v>
      </c>
      <c r="P106" s="28"/>
      <c r="R106" s="75"/>
    </row>
    <row r="107" spans="1:18" x14ac:dyDescent="0.45">
      <c r="A107" s="112">
        <f t="shared" si="55"/>
        <v>0</v>
      </c>
      <c r="B107" s="113" t="str">
        <f>IF(mtx_base_2!B56 = "","",mtx_base_2!B56)</f>
        <v/>
      </c>
      <c r="C107" s="113" t="str">
        <f>IF(mtx_base_2!C56 = "","",mtx_base_2!C56)</f>
        <v/>
      </c>
      <c r="D107" s="45" t="e">
        <f t="shared" si="84"/>
        <v>#DIV/0!</v>
      </c>
      <c r="E107" s="46" t="e">
        <f t="shared" si="75"/>
        <v>#DIV/0!</v>
      </c>
      <c r="F107" s="47" t="e">
        <f t="shared" si="76"/>
        <v>#DIV/0!</v>
      </c>
      <c r="G107" s="48" t="e">
        <f t="shared" si="77"/>
        <v>#VALUE!</v>
      </c>
      <c r="H107" s="48" t="e">
        <f t="shared" si="68"/>
        <v>#VALUE!</v>
      </c>
      <c r="I107" s="47" t="e">
        <f t="shared" si="78"/>
        <v>#VALUE!</v>
      </c>
      <c r="J107" s="47" t="e">
        <f t="shared" si="79"/>
        <v>#VALUE!</v>
      </c>
      <c r="K107" s="47" t="e">
        <f t="shared" si="80"/>
        <v>#VALUE!</v>
      </c>
      <c r="L107" s="49" t="e">
        <f t="shared" si="81"/>
        <v>#VALUE!</v>
      </c>
      <c r="M107" s="50" t="e">
        <f t="shared" si="82"/>
        <v>#VALUE!</v>
      </c>
      <c r="N107" s="51" t="e">
        <f t="shared" si="83"/>
        <v>#VALUE!</v>
      </c>
      <c r="O107" s="52" t="e">
        <f t="shared" si="83"/>
        <v>#VALUE!</v>
      </c>
      <c r="P107" s="28"/>
      <c r="R107" s="75"/>
    </row>
    <row r="108" spans="1:18" x14ac:dyDescent="0.45">
      <c r="A108" s="112">
        <f t="shared" si="55"/>
        <v>0</v>
      </c>
      <c r="B108" s="113" t="str">
        <f>IF(mtx_base_2!B57 = "","",mtx_base_2!B57)</f>
        <v/>
      </c>
      <c r="C108" s="113" t="str">
        <f>IF(mtx_base_2!C57 = "","",mtx_base_2!C57)</f>
        <v/>
      </c>
      <c r="D108" s="45" t="e">
        <f t="shared" si="84"/>
        <v>#DIV/0!</v>
      </c>
      <c r="E108" s="46" t="e">
        <f t="shared" si="75"/>
        <v>#DIV/0!</v>
      </c>
      <c r="F108" s="47" t="e">
        <f t="shared" si="76"/>
        <v>#DIV/0!</v>
      </c>
      <c r="G108" s="48" t="e">
        <f t="shared" si="77"/>
        <v>#VALUE!</v>
      </c>
      <c r="H108" s="48" t="e">
        <f t="shared" si="68"/>
        <v>#VALUE!</v>
      </c>
      <c r="I108" s="47" t="e">
        <f t="shared" si="78"/>
        <v>#VALUE!</v>
      </c>
      <c r="J108" s="47" t="e">
        <f t="shared" si="79"/>
        <v>#VALUE!</v>
      </c>
      <c r="K108" s="47" t="e">
        <f t="shared" si="80"/>
        <v>#VALUE!</v>
      </c>
      <c r="L108" s="49" t="e">
        <f t="shared" si="81"/>
        <v>#VALUE!</v>
      </c>
      <c r="M108" s="50" t="e">
        <f t="shared" si="82"/>
        <v>#VALUE!</v>
      </c>
      <c r="N108" s="51" t="e">
        <f t="shared" si="83"/>
        <v>#VALUE!</v>
      </c>
      <c r="O108" s="52" t="e">
        <f t="shared" si="83"/>
        <v>#VALUE!</v>
      </c>
      <c r="P108" s="28"/>
      <c r="R108" s="75"/>
    </row>
    <row r="109" spans="1:18" x14ac:dyDescent="0.45">
      <c r="A109" s="112">
        <f t="shared" si="55"/>
        <v>0</v>
      </c>
      <c r="B109" s="113" t="str">
        <f>IF(mtx_base_2!B58 = "","",mtx_base_2!B58)</f>
        <v/>
      </c>
      <c r="C109" s="113" t="str">
        <f>IF(mtx_base_2!C58 = "","",mtx_base_2!C58)</f>
        <v/>
      </c>
      <c r="D109" s="45" t="e">
        <f t="shared" si="84"/>
        <v>#DIV/0!</v>
      </c>
      <c r="E109" s="46" t="e">
        <f t="shared" si="75"/>
        <v>#DIV/0!</v>
      </c>
      <c r="F109" s="47" t="e">
        <f t="shared" si="76"/>
        <v>#DIV/0!</v>
      </c>
      <c r="G109" s="48" t="e">
        <f t="shared" si="77"/>
        <v>#VALUE!</v>
      </c>
      <c r="H109" s="48" t="e">
        <f t="shared" si="68"/>
        <v>#VALUE!</v>
      </c>
      <c r="I109" s="47" t="e">
        <f t="shared" si="78"/>
        <v>#VALUE!</v>
      </c>
      <c r="J109" s="47" t="e">
        <f t="shared" si="79"/>
        <v>#VALUE!</v>
      </c>
      <c r="K109" s="47" t="e">
        <f t="shared" si="80"/>
        <v>#VALUE!</v>
      </c>
      <c r="L109" s="49" t="e">
        <f t="shared" si="81"/>
        <v>#VALUE!</v>
      </c>
      <c r="M109" s="50" t="e">
        <f t="shared" si="82"/>
        <v>#VALUE!</v>
      </c>
      <c r="N109" s="51" t="e">
        <f t="shared" si="83"/>
        <v>#VALUE!</v>
      </c>
      <c r="O109" s="52" t="e">
        <f t="shared" si="83"/>
        <v>#VALUE!</v>
      </c>
      <c r="P109" s="28"/>
      <c r="R109" s="75"/>
    </row>
    <row r="110" spans="1:18" x14ac:dyDescent="0.45">
      <c r="A110" s="112">
        <f t="shared" si="55"/>
        <v>0</v>
      </c>
      <c r="B110" s="113" t="str">
        <f>IF(mtx_base_2!B59 = "","",mtx_base_2!B59)</f>
        <v/>
      </c>
      <c r="C110" s="113" t="str">
        <f>IF(mtx_base_2!C59 = "","",mtx_base_2!C59)</f>
        <v/>
      </c>
      <c r="D110" s="45" t="e">
        <f t="shared" si="84"/>
        <v>#DIV/0!</v>
      </c>
      <c r="E110" s="46" t="e">
        <f t="shared" si="75"/>
        <v>#DIV/0!</v>
      </c>
      <c r="F110" s="47" t="e">
        <f t="shared" si="76"/>
        <v>#DIV/0!</v>
      </c>
      <c r="G110" s="48" t="e">
        <f t="shared" si="77"/>
        <v>#VALUE!</v>
      </c>
      <c r="H110" s="48" t="e">
        <f t="shared" si="68"/>
        <v>#VALUE!</v>
      </c>
      <c r="I110" s="47" t="e">
        <f t="shared" si="78"/>
        <v>#VALUE!</v>
      </c>
      <c r="J110" s="47" t="e">
        <f t="shared" si="79"/>
        <v>#VALUE!</v>
      </c>
      <c r="K110" s="47" t="e">
        <f t="shared" si="80"/>
        <v>#VALUE!</v>
      </c>
      <c r="L110" s="49" t="e">
        <f t="shared" si="81"/>
        <v>#VALUE!</v>
      </c>
      <c r="M110" s="50" t="e">
        <f t="shared" si="82"/>
        <v>#VALUE!</v>
      </c>
      <c r="N110" s="51" t="e">
        <f t="shared" si="83"/>
        <v>#VALUE!</v>
      </c>
      <c r="O110" s="52" t="e">
        <f t="shared" si="83"/>
        <v>#VALUE!</v>
      </c>
      <c r="P110" s="28"/>
      <c r="R110" s="75"/>
    </row>
    <row r="111" spans="1:18" x14ac:dyDescent="0.45">
      <c r="A111" s="112">
        <f t="shared" si="55"/>
        <v>0</v>
      </c>
      <c r="B111" s="113" t="str">
        <f>IF(mtx_base_2!B60 = "","",mtx_base_2!B60)</f>
        <v/>
      </c>
      <c r="C111" s="113" t="str">
        <f>IF(mtx_base_2!C60 = "","",mtx_base_2!C60)</f>
        <v/>
      </c>
      <c r="D111" s="45" t="e">
        <f t="shared" si="84"/>
        <v>#DIV/0!</v>
      </c>
      <c r="E111" s="46" t="e">
        <f t="shared" si="75"/>
        <v>#DIV/0!</v>
      </c>
      <c r="F111" s="47" t="e">
        <f t="shared" si="76"/>
        <v>#DIV/0!</v>
      </c>
      <c r="G111" s="48" t="e">
        <f t="shared" si="77"/>
        <v>#VALUE!</v>
      </c>
      <c r="H111" s="48" t="e">
        <f t="shared" si="68"/>
        <v>#VALUE!</v>
      </c>
      <c r="I111" s="47" t="e">
        <f t="shared" si="78"/>
        <v>#VALUE!</v>
      </c>
      <c r="J111" s="47" t="e">
        <f t="shared" si="79"/>
        <v>#VALUE!</v>
      </c>
      <c r="K111" s="47" t="e">
        <f t="shared" si="80"/>
        <v>#VALUE!</v>
      </c>
      <c r="L111" s="49" t="e">
        <f t="shared" si="81"/>
        <v>#VALUE!</v>
      </c>
      <c r="M111" s="50" t="e">
        <f t="shared" si="82"/>
        <v>#VALUE!</v>
      </c>
      <c r="N111" s="51" t="e">
        <f t="shared" si="83"/>
        <v>#VALUE!</v>
      </c>
      <c r="O111" s="52" t="e">
        <f t="shared" si="83"/>
        <v>#VALUE!</v>
      </c>
      <c r="P111" s="28"/>
      <c r="R111" s="75"/>
    </row>
    <row r="112" spans="1:18" x14ac:dyDescent="0.45">
      <c r="A112" s="112">
        <f t="shared" si="55"/>
        <v>0</v>
      </c>
      <c r="B112" s="113" t="str">
        <f>IF(mtx_base_2!B61 = "","",mtx_base_2!B61)</f>
        <v/>
      </c>
      <c r="C112" s="113" t="str">
        <f>IF(mtx_base_2!C61 = "","",mtx_base_2!C61)</f>
        <v/>
      </c>
      <c r="D112" s="45" t="e">
        <f t="shared" si="84"/>
        <v>#DIV/0!</v>
      </c>
      <c r="E112" s="46" t="e">
        <f t="shared" si="75"/>
        <v>#DIV/0!</v>
      </c>
      <c r="F112" s="56" t="e">
        <f t="shared" si="76"/>
        <v>#DIV/0!</v>
      </c>
      <c r="G112" s="57" t="e">
        <f t="shared" si="77"/>
        <v>#VALUE!</v>
      </c>
      <c r="H112" s="48" t="e">
        <f t="shared" si="68"/>
        <v>#VALUE!</v>
      </c>
      <c r="I112" s="47" t="e">
        <f t="shared" si="78"/>
        <v>#VALUE!</v>
      </c>
      <c r="J112" s="47" t="e">
        <f t="shared" si="79"/>
        <v>#VALUE!</v>
      </c>
      <c r="K112" s="56" t="e">
        <f t="shared" si="80"/>
        <v>#VALUE!</v>
      </c>
      <c r="L112" s="58" t="e">
        <f t="shared" si="81"/>
        <v>#VALUE!</v>
      </c>
      <c r="M112" s="53" t="e">
        <f t="shared" si="82"/>
        <v>#VALUE!</v>
      </c>
      <c r="N112" s="59" t="e">
        <f t="shared" ref="N112:O119" si="85">M112</f>
        <v>#VALUE!</v>
      </c>
      <c r="O112" s="52" t="e">
        <f t="shared" si="85"/>
        <v>#VALUE!</v>
      </c>
      <c r="P112" s="28"/>
      <c r="R112" s="75"/>
    </row>
    <row r="113" spans="1:18" x14ac:dyDescent="0.45">
      <c r="A113" s="112">
        <f t="shared" si="55"/>
        <v>0</v>
      </c>
      <c r="B113" s="113" t="str">
        <f>IF(mtx_base_2!B62 = "","",mtx_base_2!B62)</f>
        <v/>
      </c>
      <c r="C113" s="113" t="str">
        <f>IF(mtx_base_2!C62 = "","",mtx_base_2!C62)</f>
        <v/>
      </c>
      <c r="D113" s="45" t="e">
        <f t="shared" si="84"/>
        <v>#DIV/0!</v>
      </c>
      <c r="E113" s="46" t="e">
        <f t="shared" si="75"/>
        <v>#DIV/0!</v>
      </c>
      <c r="F113" s="56" t="e">
        <f t="shared" si="76"/>
        <v>#DIV/0!</v>
      </c>
      <c r="G113" s="57" t="e">
        <f t="shared" si="77"/>
        <v>#VALUE!</v>
      </c>
      <c r="H113" s="48" t="e">
        <f t="shared" si="68"/>
        <v>#VALUE!</v>
      </c>
      <c r="I113" s="47" t="e">
        <f t="shared" si="78"/>
        <v>#VALUE!</v>
      </c>
      <c r="J113" s="47" t="e">
        <f t="shared" si="79"/>
        <v>#VALUE!</v>
      </c>
      <c r="K113" s="56" t="e">
        <f t="shared" si="80"/>
        <v>#VALUE!</v>
      </c>
      <c r="L113" s="58" t="e">
        <f t="shared" si="81"/>
        <v>#VALUE!</v>
      </c>
      <c r="M113" s="53" t="e">
        <f t="shared" si="82"/>
        <v>#VALUE!</v>
      </c>
      <c r="N113" s="59" t="e">
        <f t="shared" si="85"/>
        <v>#VALUE!</v>
      </c>
      <c r="O113" s="52" t="e">
        <f t="shared" si="85"/>
        <v>#VALUE!</v>
      </c>
      <c r="P113" s="28"/>
      <c r="R113" s="75"/>
    </row>
    <row r="114" spans="1:18" x14ac:dyDescent="0.45">
      <c r="A114" s="112">
        <f t="shared" si="55"/>
        <v>0</v>
      </c>
      <c r="B114" s="113" t="str">
        <f>IF(mtx_base_2!B63 = "","",mtx_base_2!B63)</f>
        <v/>
      </c>
      <c r="C114" s="113" t="str">
        <f>IF(mtx_base_2!C63 = "","",mtx_base_2!C63)</f>
        <v/>
      </c>
      <c r="D114" s="45" t="e">
        <f t="shared" si="84"/>
        <v>#DIV/0!</v>
      </c>
      <c r="E114" s="46" t="e">
        <f t="shared" si="75"/>
        <v>#DIV/0!</v>
      </c>
      <c r="F114" s="56" t="e">
        <f t="shared" si="76"/>
        <v>#DIV/0!</v>
      </c>
      <c r="G114" s="57" t="e">
        <f t="shared" si="77"/>
        <v>#VALUE!</v>
      </c>
      <c r="H114" s="48" t="e">
        <f t="shared" si="68"/>
        <v>#VALUE!</v>
      </c>
      <c r="I114" s="47" t="e">
        <f t="shared" si="78"/>
        <v>#VALUE!</v>
      </c>
      <c r="J114" s="47" t="e">
        <f t="shared" si="79"/>
        <v>#VALUE!</v>
      </c>
      <c r="K114" s="56" t="e">
        <f t="shared" si="80"/>
        <v>#VALUE!</v>
      </c>
      <c r="L114" s="58" t="e">
        <f t="shared" si="81"/>
        <v>#VALUE!</v>
      </c>
      <c r="M114" s="53" t="e">
        <f t="shared" si="82"/>
        <v>#VALUE!</v>
      </c>
      <c r="N114" s="59" t="e">
        <f t="shared" si="85"/>
        <v>#VALUE!</v>
      </c>
      <c r="O114" s="52" t="e">
        <f t="shared" si="85"/>
        <v>#VALUE!</v>
      </c>
      <c r="P114" s="28"/>
      <c r="R114" s="75"/>
    </row>
    <row r="115" spans="1:18" x14ac:dyDescent="0.45">
      <c r="A115" s="112">
        <f t="shared" si="55"/>
        <v>0</v>
      </c>
      <c r="B115" s="113" t="str">
        <f>IF(mtx_base_2!B64 = "","",mtx_base_2!B64)</f>
        <v/>
      </c>
      <c r="C115" s="113" t="str">
        <f>IF(mtx_base_2!C64 = "","",mtx_base_2!C64)</f>
        <v/>
      </c>
      <c r="D115" s="45" t="e">
        <f t="shared" si="84"/>
        <v>#DIV/0!</v>
      </c>
      <c r="E115" s="46" t="e">
        <f t="shared" si="75"/>
        <v>#DIV/0!</v>
      </c>
      <c r="F115" s="56" t="e">
        <f t="shared" si="76"/>
        <v>#DIV/0!</v>
      </c>
      <c r="G115" s="57" t="e">
        <f t="shared" si="77"/>
        <v>#VALUE!</v>
      </c>
      <c r="H115" s="48" t="e">
        <f t="shared" si="68"/>
        <v>#VALUE!</v>
      </c>
      <c r="I115" s="47" t="e">
        <f t="shared" si="78"/>
        <v>#VALUE!</v>
      </c>
      <c r="J115" s="47" t="e">
        <f t="shared" si="79"/>
        <v>#VALUE!</v>
      </c>
      <c r="K115" s="56" t="e">
        <f t="shared" si="80"/>
        <v>#VALUE!</v>
      </c>
      <c r="L115" s="58" t="e">
        <f t="shared" si="81"/>
        <v>#VALUE!</v>
      </c>
      <c r="M115" s="53" t="e">
        <f t="shared" si="82"/>
        <v>#VALUE!</v>
      </c>
      <c r="N115" s="59" t="e">
        <f t="shared" si="85"/>
        <v>#VALUE!</v>
      </c>
      <c r="O115" s="52" t="e">
        <f t="shared" si="85"/>
        <v>#VALUE!</v>
      </c>
      <c r="P115" s="28"/>
      <c r="R115" s="75"/>
    </row>
    <row r="116" spans="1:18" x14ac:dyDescent="0.45">
      <c r="A116" s="112">
        <f t="shared" si="55"/>
        <v>0</v>
      </c>
      <c r="B116" s="113" t="str">
        <f>IF(mtx_base_2!B65 = "","",mtx_base_2!B65)</f>
        <v/>
      </c>
      <c r="C116" s="113" t="str">
        <f>IF(mtx_base_2!C65 = "","",mtx_base_2!C65)</f>
        <v/>
      </c>
      <c r="D116" s="45" t="e">
        <f t="shared" si="84"/>
        <v>#DIV/0!</v>
      </c>
      <c r="E116" s="46" t="e">
        <f t="shared" si="75"/>
        <v>#DIV/0!</v>
      </c>
      <c r="F116" s="56" t="e">
        <f t="shared" si="76"/>
        <v>#DIV/0!</v>
      </c>
      <c r="G116" s="57" t="e">
        <f t="shared" si="77"/>
        <v>#VALUE!</v>
      </c>
      <c r="H116" s="48" t="e">
        <f t="shared" si="68"/>
        <v>#VALUE!</v>
      </c>
      <c r="I116" s="47" t="e">
        <f t="shared" si="78"/>
        <v>#VALUE!</v>
      </c>
      <c r="J116" s="47" t="e">
        <f t="shared" si="79"/>
        <v>#VALUE!</v>
      </c>
      <c r="K116" s="56" t="e">
        <f t="shared" si="80"/>
        <v>#VALUE!</v>
      </c>
      <c r="L116" s="58" t="e">
        <f t="shared" si="81"/>
        <v>#VALUE!</v>
      </c>
      <c r="M116" s="53" t="e">
        <f t="shared" si="82"/>
        <v>#VALUE!</v>
      </c>
      <c r="N116" s="59" t="e">
        <f t="shared" si="85"/>
        <v>#VALUE!</v>
      </c>
      <c r="O116" s="52" t="e">
        <f t="shared" si="85"/>
        <v>#VALUE!</v>
      </c>
      <c r="P116" s="28"/>
      <c r="R116" s="75"/>
    </row>
    <row r="117" spans="1:18" x14ac:dyDescent="0.45">
      <c r="A117" s="112">
        <f t="shared" si="55"/>
        <v>0</v>
      </c>
      <c r="B117" s="113" t="str">
        <f>IF(mtx_base_2!B66 = "","",mtx_base_2!B66)</f>
        <v/>
      </c>
      <c r="C117" s="113" t="str">
        <f>IF(mtx_base_2!C66 = "","",mtx_base_2!C66)</f>
        <v/>
      </c>
      <c r="D117" s="45" t="e">
        <f t="shared" si="84"/>
        <v>#DIV/0!</v>
      </c>
      <c r="E117" s="46" t="e">
        <f t="shared" si="75"/>
        <v>#DIV/0!</v>
      </c>
      <c r="F117" s="56" t="e">
        <f t="shared" si="76"/>
        <v>#DIV/0!</v>
      </c>
      <c r="G117" s="57" t="e">
        <f t="shared" ref="G117:G119" si="86">B117-D117</f>
        <v>#VALUE!</v>
      </c>
      <c r="H117" s="48" t="e">
        <f t="shared" si="68"/>
        <v>#VALUE!</v>
      </c>
      <c r="I117" s="47" t="e">
        <f t="shared" si="78"/>
        <v>#VALUE!</v>
      </c>
      <c r="J117" s="47" t="e">
        <f t="shared" si="79"/>
        <v>#VALUE!</v>
      </c>
      <c r="K117" s="56" t="e">
        <f t="shared" si="80"/>
        <v>#VALUE!</v>
      </c>
      <c r="L117" s="58" t="e">
        <f t="shared" si="81"/>
        <v>#VALUE!</v>
      </c>
      <c r="M117" s="53" t="e">
        <f t="shared" si="82"/>
        <v>#VALUE!</v>
      </c>
      <c r="N117" s="59" t="e">
        <f t="shared" si="85"/>
        <v>#VALUE!</v>
      </c>
      <c r="O117" s="52" t="e">
        <f t="shared" si="85"/>
        <v>#VALUE!</v>
      </c>
      <c r="P117" s="28"/>
      <c r="R117" s="75"/>
    </row>
    <row r="118" spans="1:18" x14ac:dyDescent="0.45">
      <c r="A118" s="112">
        <f t="shared" si="55"/>
        <v>0</v>
      </c>
      <c r="B118" s="113" t="str">
        <f>IF(mtx_base_2!B67 = "","",mtx_base_2!B67)</f>
        <v/>
      </c>
      <c r="C118" s="113" t="str">
        <f>IF(mtx_base_2!C67 = "","",mtx_base_2!C67)</f>
        <v/>
      </c>
      <c r="D118" s="45" t="e">
        <f t="shared" si="84"/>
        <v>#DIV/0!</v>
      </c>
      <c r="E118" s="46" t="e">
        <f t="shared" si="75"/>
        <v>#DIV/0!</v>
      </c>
      <c r="F118" s="56" t="e">
        <f t="shared" si="76"/>
        <v>#DIV/0!</v>
      </c>
      <c r="G118" s="57" t="e">
        <f t="shared" si="86"/>
        <v>#VALUE!</v>
      </c>
      <c r="H118" s="48" t="e">
        <f t="shared" si="68"/>
        <v>#VALUE!</v>
      </c>
      <c r="I118" s="47" t="e">
        <f t="shared" si="78"/>
        <v>#VALUE!</v>
      </c>
      <c r="J118" s="47" t="e">
        <f t="shared" si="79"/>
        <v>#VALUE!</v>
      </c>
      <c r="K118" s="56" t="e">
        <f t="shared" si="80"/>
        <v>#VALUE!</v>
      </c>
      <c r="L118" s="58" t="e">
        <f t="shared" si="81"/>
        <v>#VALUE!</v>
      </c>
      <c r="M118" s="53" t="e">
        <f t="shared" si="82"/>
        <v>#VALUE!</v>
      </c>
      <c r="N118" s="59" t="e">
        <f t="shared" si="85"/>
        <v>#VALUE!</v>
      </c>
      <c r="O118" s="52" t="e">
        <f t="shared" si="85"/>
        <v>#VALUE!</v>
      </c>
      <c r="P118" s="28"/>
      <c r="R118" s="75"/>
    </row>
    <row r="119" spans="1:18" x14ac:dyDescent="0.45">
      <c r="A119" s="112">
        <f t="shared" si="55"/>
        <v>0</v>
      </c>
      <c r="B119" s="113" t="str">
        <f>IF(mtx_base_2!B68 = "","",mtx_base_2!B68)</f>
        <v/>
      </c>
      <c r="C119" s="113" t="str">
        <f>IF(mtx_base_2!C68 = "","",mtx_base_2!C68)</f>
        <v/>
      </c>
      <c r="D119" s="45" t="e">
        <f t="shared" si="84"/>
        <v>#DIV/0!</v>
      </c>
      <c r="E119" s="46" t="e">
        <f t="shared" si="75"/>
        <v>#DIV/0!</v>
      </c>
      <c r="F119" s="56" t="e">
        <f t="shared" si="76"/>
        <v>#DIV/0!</v>
      </c>
      <c r="G119" s="57" t="e">
        <f t="shared" si="86"/>
        <v>#VALUE!</v>
      </c>
      <c r="H119" s="48" t="e">
        <f t="shared" si="68"/>
        <v>#VALUE!</v>
      </c>
      <c r="I119" s="47" t="e">
        <f t="shared" si="78"/>
        <v>#VALUE!</v>
      </c>
      <c r="J119" s="47" t="e">
        <f t="shared" si="79"/>
        <v>#VALUE!</v>
      </c>
      <c r="K119" s="56" t="e">
        <f t="shared" si="80"/>
        <v>#VALUE!</v>
      </c>
      <c r="L119" s="58" t="e">
        <f t="shared" si="81"/>
        <v>#VALUE!</v>
      </c>
      <c r="M119" s="53" t="e">
        <f t="shared" si="82"/>
        <v>#VALUE!</v>
      </c>
      <c r="N119" s="59" t="e">
        <f t="shared" si="85"/>
        <v>#VALUE!</v>
      </c>
      <c r="O119" s="52" t="e">
        <f t="shared" si="85"/>
        <v>#VALUE!</v>
      </c>
      <c r="P119" s="28"/>
      <c r="R119" s="75"/>
    </row>
    <row r="120" spans="1:18" ht="16.5" thickBot="1" x14ac:dyDescent="0.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</row>
    <row r="121" spans="1:18" ht="16.5" thickBot="1" x14ac:dyDescent="0.5">
      <c r="A121" s="60" t="s">
        <v>46</v>
      </c>
      <c r="B121" s="76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</row>
    <row r="122" spans="1:18" x14ac:dyDescent="0.4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</row>
    <row r="123" spans="1:18" ht="25" x14ac:dyDescent="0.7">
      <c r="A123" s="27" t="s">
        <v>48</v>
      </c>
      <c r="B123" s="142"/>
      <c r="C123" s="142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</row>
    <row r="124" spans="1:18" x14ac:dyDescent="0.45">
      <c r="A124" s="30"/>
      <c r="B124" s="142"/>
      <c r="C124" s="142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</row>
    <row r="125" spans="1:18" ht="16.5" thickBot="1" x14ac:dyDescent="0.5">
      <c r="A125" s="31" t="s">
        <v>30</v>
      </c>
      <c r="B125" s="143"/>
      <c r="C125" s="143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</row>
    <row r="126" spans="1:18" x14ac:dyDescent="0.45">
      <c r="A126" s="32" t="s">
        <v>31</v>
      </c>
      <c r="B126" s="33" t="e">
        <f>AVERAGE(B131:B180)</f>
        <v>#DIV/0!</v>
      </c>
      <c r="C126" s="34" t="e">
        <f>AVERAGE(C131:C180)</f>
        <v>#DIV/0!</v>
      </c>
      <c r="D126" s="35" t="s">
        <v>32</v>
      </c>
      <c r="E126" s="61" t="e">
        <f>B128-B127</f>
        <v>#DIV/0!</v>
      </c>
      <c r="F126" s="62" t="e">
        <f>C128-C127</f>
        <v>#DIV/0!</v>
      </c>
      <c r="G126" s="38"/>
      <c r="H126" s="39"/>
      <c r="I126" s="38"/>
      <c r="J126" s="38"/>
      <c r="K126" s="28"/>
      <c r="L126" s="28"/>
      <c r="M126" s="28"/>
      <c r="N126" s="28"/>
      <c r="O126" s="28"/>
      <c r="P126" s="28"/>
    </row>
    <row r="127" spans="1:18" ht="16.5" thickBot="1" x14ac:dyDescent="0.5">
      <c r="A127" s="63" t="s">
        <v>33</v>
      </c>
      <c r="B127" s="64" t="e">
        <f>B126-1.1*(MAX(MAX(B131:B180)-B126,B126-MIN(B131:B180)))</f>
        <v>#DIV/0!</v>
      </c>
      <c r="C127" s="133" t="e">
        <f>C126-1.1*(MAX(MAX(C131:C180)-C126,C126-MIN(C131:C180)))</f>
        <v>#DIV/0!</v>
      </c>
      <c r="D127" s="65" t="s">
        <v>34</v>
      </c>
      <c r="E127" s="66" t="e">
        <f>+E126/75</f>
        <v>#DIV/0!</v>
      </c>
      <c r="F127" s="67" t="e">
        <f>+F126/75</f>
        <v>#DIV/0!</v>
      </c>
      <c r="G127" s="38"/>
      <c r="H127" s="38"/>
      <c r="I127" s="38"/>
      <c r="J127" s="38"/>
      <c r="K127" s="28"/>
      <c r="L127" s="28"/>
      <c r="M127" s="28"/>
      <c r="N127" s="28"/>
      <c r="O127" s="28"/>
      <c r="P127" s="28"/>
    </row>
    <row r="128" spans="1:18" ht="16.5" thickBot="1" x14ac:dyDescent="0.5">
      <c r="A128" s="68" t="s">
        <v>35</v>
      </c>
      <c r="B128" s="69" t="e">
        <f>B126+1.1*(MAX(MAX(B131:B180)-B126,B126-MIN(B131:B180)))</f>
        <v>#DIV/0!</v>
      </c>
      <c r="C128" s="70" t="e">
        <f>C126+1.1*(MAX(MAX(C131:C180)-C126,C126-MIN(C131:C180)))</f>
        <v>#DIV/0!</v>
      </c>
      <c r="D128" s="40"/>
      <c r="E128" s="41"/>
      <c r="F128" s="41"/>
      <c r="G128" s="42"/>
      <c r="H128" s="42"/>
      <c r="I128" s="42"/>
      <c r="J128" s="42"/>
      <c r="K128" s="43"/>
      <c r="L128" s="43"/>
      <c r="M128" s="28"/>
      <c r="N128" s="28"/>
      <c r="O128" s="28"/>
      <c r="P128" s="28"/>
    </row>
    <row r="129" spans="1:18" x14ac:dyDescent="0.45">
      <c r="A129" s="28"/>
      <c r="B129" s="38"/>
      <c r="C129" s="44"/>
      <c r="D129" s="138" t="s">
        <v>36</v>
      </c>
      <c r="E129" s="139"/>
      <c r="F129" s="139"/>
      <c r="G129" s="139"/>
      <c r="H129" s="139"/>
      <c r="I129" s="139"/>
      <c r="J129" s="139"/>
      <c r="K129" s="139"/>
      <c r="L129" s="139"/>
      <c r="M129" s="140" t="s">
        <v>37</v>
      </c>
      <c r="N129" s="140"/>
      <c r="O129" s="144" t="s">
        <v>38</v>
      </c>
      <c r="P129" s="28"/>
    </row>
    <row r="130" spans="1:18" ht="16.5" thickBot="1" x14ac:dyDescent="0.5">
      <c r="A130" s="71" t="s">
        <v>39</v>
      </c>
      <c r="B130" s="72" t="s">
        <v>40</v>
      </c>
      <c r="C130" s="73" t="s">
        <v>41</v>
      </c>
      <c r="D130" s="149" t="s">
        <v>42</v>
      </c>
      <c r="E130" s="150"/>
      <c r="F130" s="74" t="s">
        <v>43</v>
      </c>
      <c r="G130" s="150" t="s">
        <v>44</v>
      </c>
      <c r="H130" s="150"/>
      <c r="I130" s="150"/>
      <c r="J130" s="150"/>
      <c r="K130" s="150" t="s">
        <v>45</v>
      </c>
      <c r="L130" s="150"/>
      <c r="M130" s="152"/>
      <c r="N130" s="152"/>
      <c r="O130" s="148"/>
      <c r="P130" s="28"/>
    </row>
    <row r="131" spans="1:18" x14ac:dyDescent="0.45">
      <c r="A131" s="112">
        <f>A9</f>
        <v>0</v>
      </c>
      <c r="B131" s="114" t="str">
        <f>IF(mtx_base_3!B19 = "","",mtx_base_3!B19)</f>
        <v/>
      </c>
      <c r="C131" s="114" t="str">
        <f>IF(mtx_base_3!C19 = "","",mtx_base_3!C19)</f>
        <v/>
      </c>
      <c r="D131" s="45" t="e">
        <f t="shared" ref="D131:D156" si="87">$B$126</f>
        <v>#DIV/0!</v>
      </c>
      <c r="E131" s="46" t="e">
        <f t="shared" ref="E131:E156" si="88">$C$126</f>
        <v>#DIV/0!</v>
      </c>
      <c r="F131" s="47" t="e">
        <f t="shared" ref="F131" si="89">IF(AND(B131&lt;D131,C131&lt;E131),"Blue",(IF(AND(B131&lt;D131,C131&gt;E131),"Red",(IF(AND(B131&gt;D131,C131&gt;E131),"Green",(IF(AND(B131&gt;D131,C131&lt;E131),"Yellow")))))))</f>
        <v>#DIV/0!</v>
      </c>
      <c r="G131" s="48" t="e">
        <f t="shared" ref="G131" si="90">B131-D131</f>
        <v>#VALUE!</v>
      </c>
      <c r="H131" s="48" t="e">
        <f t="shared" ref="H131" si="91">C131-E131</f>
        <v>#VALUE!</v>
      </c>
      <c r="I131" s="47" t="e">
        <f t="shared" ref="I131" si="92">IF((ABS(G131)&lt;$E$127),"TIE",F131)</f>
        <v>#VALUE!</v>
      </c>
      <c r="J131" s="47" t="e">
        <f t="shared" ref="J131" si="93">IF((ABS(H131)&lt;$F$127),"TIE",F131)</f>
        <v>#VALUE!</v>
      </c>
      <c r="K131" s="47" t="e">
        <f t="shared" ref="K131" si="94">IF(AND(I131&lt;&gt;"TIE",J131&lt;&gt;"TIE"),F131,"TIE")</f>
        <v>#VALUE!</v>
      </c>
      <c r="L131" s="49" t="e">
        <f t="shared" ref="L131" si="95">IF(AND(I131="TIE",C131&gt;E131),"Red/Green",(IF(AND(I131="TIE",C131&lt;E131),"Blue/Yellow",(IF(AND(B131&lt;D131,J131="TIE"),"Red/Blue",(IF(AND(B131&gt;D131,J131="TIE"),"Green/Yellow")))))))</f>
        <v>#VALUE!</v>
      </c>
      <c r="M131" s="50" t="e">
        <f t="shared" ref="M131" si="96">IF(AND(I131="TIE",J131="TIE"),"Four Way Tie",IF(L131=FALSE,K131,L131))</f>
        <v>#VALUE!</v>
      </c>
      <c r="N131" s="51" t="e">
        <f t="shared" ref="N131" si="97">M131</f>
        <v>#VALUE!</v>
      </c>
      <c r="O131" s="52" t="e">
        <f t="shared" ref="O131" si="98">N131</f>
        <v>#VALUE!</v>
      </c>
      <c r="P131" s="28"/>
      <c r="R131" s="75"/>
    </row>
    <row r="132" spans="1:18" x14ac:dyDescent="0.45">
      <c r="A132" s="112">
        <f t="shared" ref="A132:A180" si="99">A10</f>
        <v>0</v>
      </c>
      <c r="B132" s="114" t="str">
        <f>IF(mtx_base_3!B20 = "","",mtx_base_3!B20)</f>
        <v/>
      </c>
      <c r="C132" s="114" t="str">
        <f>IF(mtx_base_3!C20 = "","",mtx_base_3!C20)</f>
        <v/>
      </c>
      <c r="D132" s="45" t="e">
        <f t="shared" si="87"/>
        <v>#DIV/0!</v>
      </c>
      <c r="E132" s="46" t="e">
        <f t="shared" si="88"/>
        <v>#DIV/0!</v>
      </c>
      <c r="F132" s="47" t="e">
        <f t="shared" ref="F132:F155" si="100">IF(AND(B132&lt;D132,C132&lt;E132),"Blue",(IF(AND(B132&lt;D132,C132&gt;E132),"Red",(IF(AND(B132&gt;D132,C132&gt;E132),"Green",(IF(AND(B132&gt;D132,C132&lt;E132),"Yellow")))))))</f>
        <v>#DIV/0!</v>
      </c>
      <c r="G132" s="48" t="e">
        <f t="shared" ref="G132:G155" si="101">B132-D132</f>
        <v>#VALUE!</v>
      </c>
      <c r="H132" s="48" t="e">
        <f t="shared" ref="H132:H155" si="102">C132-E132</f>
        <v>#VALUE!</v>
      </c>
      <c r="I132" s="47" t="e">
        <f t="shared" ref="I132:I155" si="103">IF((ABS(G132)&lt;$E$127),"TIE",F132)</f>
        <v>#VALUE!</v>
      </c>
      <c r="J132" s="47" t="e">
        <f t="shared" ref="J132:J155" si="104">IF((ABS(H132)&lt;$F$127),"TIE",F132)</f>
        <v>#VALUE!</v>
      </c>
      <c r="K132" s="47" t="e">
        <f t="shared" ref="K132:K155" si="105">IF(AND(I132&lt;&gt;"TIE",J132&lt;&gt;"TIE"),F132,"TIE")</f>
        <v>#VALUE!</v>
      </c>
      <c r="L132" s="49" t="e">
        <f t="shared" ref="L132:L155" si="106">IF(AND(I132="TIE",C132&gt;E132),"Red/Green",(IF(AND(I132="TIE",C132&lt;E132),"Blue/Yellow",(IF(AND(B132&lt;D132,J132="TIE"),"Red/Blue",(IF(AND(B132&gt;D132,J132="TIE"),"Green/Yellow")))))))</f>
        <v>#VALUE!</v>
      </c>
      <c r="M132" s="50" t="e">
        <f t="shared" ref="M132:M155" si="107">IF(AND(I132="TIE",J132="TIE"),"Four Way Tie",IF(L132=FALSE,K132,L132))</f>
        <v>#VALUE!</v>
      </c>
      <c r="N132" s="51" t="e">
        <f t="shared" ref="N132:N155" si="108">M132</f>
        <v>#VALUE!</v>
      </c>
      <c r="O132" s="52" t="e">
        <f t="shared" ref="O132:O155" si="109">N132</f>
        <v>#VALUE!</v>
      </c>
      <c r="P132" s="28"/>
      <c r="R132" s="75"/>
    </row>
    <row r="133" spans="1:18" x14ac:dyDescent="0.45">
      <c r="A133" s="112">
        <f t="shared" si="99"/>
        <v>0</v>
      </c>
      <c r="B133" s="114" t="str">
        <f>IF(mtx_base_3!B21 = "","",mtx_base_3!B21)</f>
        <v/>
      </c>
      <c r="C133" s="114" t="str">
        <f>IF(mtx_base_3!C21 = "","",mtx_base_3!C21)</f>
        <v/>
      </c>
      <c r="D133" s="45" t="e">
        <f t="shared" si="87"/>
        <v>#DIV/0!</v>
      </c>
      <c r="E133" s="46" t="e">
        <f t="shared" si="88"/>
        <v>#DIV/0!</v>
      </c>
      <c r="F133" s="47" t="e">
        <f t="shared" si="100"/>
        <v>#DIV/0!</v>
      </c>
      <c r="G133" s="48" t="e">
        <f t="shared" si="101"/>
        <v>#VALUE!</v>
      </c>
      <c r="H133" s="48" t="e">
        <f t="shared" si="102"/>
        <v>#VALUE!</v>
      </c>
      <c r="I133" s="47" t="e">
        <f t="shared" si="103"/>
        <v>#VALUE!</v>
      </c>
      <c r="J133" s="47" t="e">
        <f t="shared" si="104"/>
        <v>#VALUE!</v>
      </c>
      <c r="K133" s="47" t="e">
        <f t="shared" si="105"/>
        <v>#VALUE!</v>
      </c>
      <c r="L133" s="49" t="e">
        <f t="shared" si="106"/>
        <v>#VALUE!</v>
      </c>
      <c r="M133" s="50" t="e">
        <f t="shared" si="107"/>
        <v>#VALUE!</v>
      </c>
      <c r="N133" s="51" t="e">
        <f t="shared" si="108"/>
        <v>#VALUE!</v>
      </c>
      <c r="O133" s="52" t="e">
        <f t="shared" si="109"/>
        <v>#VALUE!</v>
      </c>
      <c r="P133" s="28"/>
      <c r="R133" s="75"/>
    </row>
    <row r="134" spans="1:18" x14ac:dyDescent="0.45">
      <c r="A134" s="112">
        <f t="shared" si="99"/>
        <v>0</v>
      </c>
      <c r="B134" s="114" t="str">
        <f>IF(mtx_base_3!B22 = "","",mtx_base_3!B22)</f>
        <v/>
      </c>
      <c r="C134" s="114" t="str">
        <f>IF(mtx_base_3!C22 = "","",mtx_base_3!C22)</f>
        <v/>
      </c>
      <c r="D134" s="45" t="e">
        <f t="shared" si="87"/>
        <v>#DIV/0!</v>
      </c>
      <c r="E134" s="46" t="e">
        <f t="shared" si="88"/>
        <v>#DIV/0!</v>
      </c>
      <c r="F134" s="47" t="e">
        <f t="shared" si="100"/>
        <v>#DIV/0!</v>
      </c>
      <c r="G134" s="48" t="e">
        <f t="shared" si="101"/>
        <v>#VALUE!</v>
      </c>
      <c r="H134" s="48" t="e">
        <f t="shared" si="102"/>
        <v>#VALUE!</v>
      </c>
      <c r="I134" s="47" t="e">
        <f t="shared" si="103"/>
        <v>#VALUE!</v>
      </c>
      <c r="J134" s="47" t="e">
        <f t="shared" si="104"/>
        <v>#VALUE!</v>
      </c>
      <c r="K134" s="47" t="e">
        <f t="shared" si="105"/>
        <v>#VALUE!</v>
      </c>
      <c r="L134" s="49" t="e">
        <f t="shared" si="106"/>
        <v>#VALUE!</v>
      </c>
      <c r="M134" s="50" t="e">
        <f t="shared" si="107"/>
        <v>#VALUE!</v>
      </c>
      <c r="N134" s="51" t="e">
        <f t="shared" si="108"/>
        <v>#VALUE!</v>
      </c>
      <c r="O134" s="52" t="e">
        <f t="shared" si="109"/>
        <v>#VALUE!</v>
      </c>
      <c r="P134" s="28"/>
      <c r="R134" s="75"/>
    </row>
    <row r="135" spans="1:18" x14ac:dyDescent="0.45">
      <c r="A135" s="112">
        <f t="shared" si="99"/>
        <v>0</v>
      </c>
      <c r="B135" s="114" t="str">
        <f>IF(mtx_base_3!B23 = "","",mtx_base_3!B23)</f>
        <v/>
      </c>
      <c r="C135" s="114" t="str">
        <f>IF(mtx_base_3!C23 = "","",mtx_base_3!C23)</f>
        <v/>
      </c>
      <c r="D135" s="45" t="e">
        <f t="shared" si="87"/>
        <v>#DIV/0!</v>
      </c>
      <c r="E135" s="46" t="e">
        <f t="shared" si="88"/>
        <v>#DIV/0!</v>
      </c>
      <c r="F135" s="47" t="e">
        <f t="shared" si="100"/>
        <v>#DIV/0!</v>
      </c>
      <c r="G135" s="48" t="e">
        <f t="shared" si="101"/>
        <v>#VALUE!</v>
      </c>
      <c r="H135" s="48" t="e">
        <f t="shared" si="102"/>
        <v>#VALUE!</v>
      </c>
      <c r="I135" s="47" t="e">
        <f t="shared" si="103"/>
        <v>#VALUE!</v>
      </c>
      <c r="J135" s="47" t="e">
        <f t="shared" si="104"/>
        <v>#VALUE!</v>
      </c>
      <c r="K135" s="47" t="e">
        <f t="shared" si="105"/>
        <v>#VALUE!</v>
      </c>
      <c r="L135" s="49" t="e">
        <f t="shared" si="106"/>
        <v>#VALUE!</v>
      </c>
      <c r="M135" s="50" t="e">
        <f t="shared" si="107"/>
        <v>#VALUE!</v>
      </c>
      <c r="N135" s="51" t="e">
        <f t="shared" si="108"/>
        <v>#VALUE!</v>
      </c>
      <c r="O135" s="52" t="e">
        <f t="shared" si="109"/>
        <v>#VALUE!</v>
      </c>
      <c r="P135" s="28"/>
      <c r="R135" s="75"/>
    </row>
    <row r="136" spans="1:18" x14ac:dyDescent="0.45">
      <c r="A136" s="112">
        <f t="shared" si="99"/>
        <v>0</v>
      </c>
      <c r="B136" s="114" t="str">
        <f>IF(mtx_base_3!B24 = "","",mtx_base_3!B24)</f>
        <v/>
      </c>
      <c r="C136" s="114" t="str">
        <f>IF(mtx_base_3!C24 = "","",mtx_base_3!C24)</f>
        <v/>
      </c>
      <c r="D136" s="45" t="e">
        <f t="shared" si="87"/>
        <v>#DIV/0!</v>
      </c>
      <c r="E136" s="46" t="e">
        <f t="shared" si="88"/>
        <v>#DIV/0!</v>
      </c>
      <c r="F136" s="47" t="e">
        <f t="shared" si="100"/>
        <v>#DIV/0!</v>
      </c>
      <c r="G136" s="48" t="e">
        <f t="shared" si="101"/>
        <v>#VALUE!</v>
      </c>
      <c r="H136" s="48" t="e">
        <f t="shared" si="102"/>
        <v>#VALUE!</v>
      </c>
      <c r="I136" s="47" t="e">
        <f t="shared" si="103"/>
        <v>#VALUE!</v>
      </c>
      <c r="J136" s="47" t="e">
        <f t="shared" si="104"/>
        <v>#VALUE!</v>
      </c>
      <c r="K136" s="47" t="e">
        <f t="shared" si="105"/>
        <v>#VALUE!</v>
      </c>
      <c r="L136" s="49" t="e">
        <f t="shared" si="106"/>
        <v>#VALUE!</v>
      </c>
      <c r="M136" s="50" t="e">
        <f t="shared" si="107"/>
        <v>#VALUE!</v>
      </c>
      <c r="N136" s="51" t="e">
        <f t="shared" si="108"/>
        <v>#VALUE!</v>
      </c>
      <c r="O136" s="52" t="e">
        <f t="shared" si="109"/>
        <v>#VALUE!</v>
      </c>
      <c r="P136" s="28"/>
      <c r="R136" s="75"/>
    </row>
    <row r="137" spans="1:18" x14ac:dyDescent="0.45">
      <c r="A137" s="112">
        <f t="shared" si="99"/>
        <v>0</v>
      </c>
      <c r="B137" s="114" t="str">
        <f>IF(mtx_base_3!B25 = "","",mtx_base_3!B25)</f>
        <v/>
      </c>
      <c r="C137" s="114" t="str">
        <f>IF(mtx_base_3!C25 = "","",mtx_base_3!C25)</f>
        <v/>
      </c>
      <c r="D137" s="45" t="e">
        <f t="shared" si="87"/>
        <v>#DIV/0!</v>
      </c>
      <c r="E137" s="46" t="e">
        <f t="shared" si="88"/>
        <v>#DIV/0!</v>
      </c>
      <c r="F137" s="47" t="e">
        <f t="shared" si="100"/>
        <v>#DIV/0!</v>
      </c>
      <c r="G137" s="48" t="e">
        <f t="shared" si="101"/>
        <v>#VALUE!</v>
      </c>
      <c r="H137" s="48" t="e">
        <f t="shared" si="102"/>
        <v>#VALUE!</v>
      </c>
      <c r="I137" s="47" t="e">
        <f t="shared" si="103"/>
        <v>#VALUE!</v>
      </c>
      <c r="J137" s="47" t="e">
        <f t="shared" si="104"/>
        <v>#VALUE!</v>
      </c>
      <c r="K137" s="47" t="e">
        <f t="shared" si="105"/>
        <v>#VALUE!</v>
      </c>
      <c r="L137" s="49" t="e">
        <f t="shared" si="106"/>
        <v>#VALUE!</v>
      </c>
      <c r="M137" s="50" t="e">
        <f t="shared" si="107"/>
        <v>#VALUE!</v>
      </c>
      <c r="N137" s="51" t="e">
        <f t="shared" si="108"/>
        <v>#VALUE!</v>
      </c>
      <c r="O137" s="52" t="e">
        <f t="shared" si="109"/>
        <v>#VALUE!</v>
      </c>
      <c r="P137" s="28"/>
      <c r="R137" s="75"/>
    </row>
    <row r="138" spans="1:18" x14ac:dyDescent="0.45">
      <c r="A138" s="112">
        <f t="shared" si="99"/>
        <v>0</v>
      </c>
      <c r="B138" s="114" t="str">
        <f>IF(mtx_base_3!B26 = "","",mtx_base_3!B26)</f>
        <v/>
      </c>
      <c r="C138" s="114" t="str">
        <f>IF(mtx_base_3!C26 = "","",mtx_base_3!C26)</f>
        <v/>
      </c>
      <c r="D138" s="45" t="e">
        <f t="shared" si="87"/>
        <v>#DIV/0!</v>
      </c>
      <c r="E138" s="46" t="e">
        <f t="shared" si="88"/>
        <v>#DIV/0!</v>
      </c>
      <c r="F138" s="47" t="e">
        <f t="shared" si="100"/>
        <v>#DIV/0!</v>
      </c>
      <c r="G138" s="48" t="e">
        <f t="shared" si="101"/>
        <v>#VALUE!</v>
      </c>
      <c r="H138" s="48" t="e">
        <f t="shared" si="102"/>
        <v>#VALUE!</v>
      </c>
      <c r="I138" s="47" t="e">
        <f t="shared" si="103"/>
        <v>#VALUE!</v>
      </c>
      <c r="J138" s="47" t="e">
        <f t="shared" si="104"/>
        <v>#VALUE!</v>
      </c>
      <c r="K138" s="47" t="e">
        <f t="shared" si="105"/>
        <v>#VALUE!</v>
      </c>
      <c r="L138" s="49" t="e">
        <f t="shared" si="106"/>
        <v>#VALUE!</v>
      </c>
      <c r="M138" s="50" t="e">
        <f t="shared" si="107"/>
        <v>#VALUE!</v>
      </c>
      <c r="N138" s="51" t="e">
        <f t="shared" si="108"/>
        <v>#VALUE!</v>
      </c>
      <c r="O138" s="52" t="e">
        <f t="shared" si="109"/>
        <v>#VALUE!</v>
      </c>
      <c r="P138" s="28"/>
      <c r="R138" s="75"/>
    </row>
    <row r="139" spans="1:18" x14ac:dyDescent="0.45">
      <c r="A139" s="112">
        <f t="shared" si="99"/>
        <v>0</v>
      </c>
      <c r="B139" s="114" t="str">
        <f>IF(mtx_base_3!B27 = "","",mtx_base_3!B27)</f>
        <v/>
      </c>
      <c r="C139" s="114" t="str">
        <f>IF(mtx_base_3!C27 = "","",mtx_base_3!C27)</f>
        <v/>
      </c>
      <c r="D139" s="45" t="e">
        <f t="shared" si="87"/>
        <v>#DIV/0!</v>
      </c>
      <c r="E139" s="46" t="e">
        <f t="shared" si="88"/>
        <v>#DIV/0!</v>
      </c>
      <c r="F139" s="47" t="e">
        <f t="shared" si="100"/>
        <v>#DIV/0!</v>
      </c>
      <c r="G139" s="48" t="e">
        <f t="shared" si="101"/>
        <v>#VALUE!</v>
      </c>
      <c r="H139" s="48" t="e">
        <f t="shared" si="102"/>
        <v>#VALUE!</v>
      </c>
      <c r="I139" s="47" t="e">
        <f t="shared" si="103"/>
        <v>#VALUE!</v>
      </c>
      <c r="J139" s="47" t="e">
        <f t="shared" si="104"/>
        <v>#VALUE!</v>
      </c>
      <c r="K139" s="47" t="e">
        <f t="shared" si="105"/>
        <v>#VALUE!</v>
      </c>
      <c r="L139" s="49" t="e">
        <f t="shared" si="106"/>
        <v>#VALUE!</v>
      </c>
      <c r="M139" s="50" t="e">
        <f t="shared" si="107"/>
        <v>#VALUE!</v>
      </c>
      <c r="N139" s="51" t="e">
        <f t="shared" si="108"/>
        <v>#VALUE!</v>
      </c>
      <c r="O139" s="52" t="e">
        <f t="shared" si="109"/>
        <v>#VALUE!</v>
      </c>
      <c r="P139" s="28"/>
      <c r="R139" s="75"/>
    </row>
    <row r="140" spans="1:18" x14ac:dyDescent="0.45">
      <c r="A140" s="112">
        <f t="shared" si="99"/>
        <v>0</v>
      </c>
      <c r="B140" s="114" t="str">
        <f>IF(mtx_base_3!B28 = "","",mtx_base_3!B28)</f>
        <v/>
      </c>
      <c r="C140" s="114" t="str">
        <f>IF(mtx_base_3!C28 = "","",mtx_base_3!C28)</f>
        <v/>
      </c>
      <c r="D140" s="45" t="e">
        <f t="shared" si="87"/>
        <v>#DIV/0!</v>
      </c>
      <c r="E140" s="46" t="e">
        <f t="shared" si="88"/>
        <v>#DIV/0!</v>
      </c>
      <c r="F140" s="47" t="e">
        <f t="shared" si="100"/>
        <v>#DIV/0!</v>
      </c>
      <c r="G140" s="48" t="e">
        <f t="shared" si="101"/>
        <v>#VALUE!</v>
      </c>
      <c r="H140" s="48" t="e">
        <f t="shared" si="102"/>
        <v>#VALUE!</v>
      </c>
      <c r="I140" s="47" t="e">
        <f t="shared" si="103"/>
        <v>#VALUE!</v>
      </c>
      <c r="J140" s="47" t="e">
        <f t="shared" si="104"/>
        <v>#VALUE!</v>
      </c>
      <c r="K140" s="47" t="e">
        <f t="shared" si="105"/>
        <v>#VALUE!</v>
      </c>
      <c r="L140" s="49" t="e">
        <f t="shared" si="106"/>
        <v>#VALUE!</v>
      </c>
      <c r="M140" s="50" t="e">
        <f t="shared" si="107"/>
        <v>#VALUE!</v>
      </c>
      <c r="N140" s="51" t="e">
        <f t="shared" si="108"/>
        <v>#VALUE!</v>
      </c>
      <c r="O140" s="52" t="e">
        <f t="shared" si="109"/>
        <v>#VALUE!</v>
      </c>
      <c r="P140" s="28"/>
      <c r="R140" s="75"/>
    </row>
    <row r="141" spans="1:18" x14ac:dyDescent="0.45">
      <c r="A141" s="112">
        <f t="shared" si="99"/>
        <v>0</v>
      </c>
      <c r="B141" s="114" t="str">
        <f>IF(mtx_base_3!B29 = "","",mtx_base_3!B29)</f>
        <v/>
      </c>
      <c r="C141" s="114" t="str">
        <f>IF(mtx_base_3!C29 = "","",mtx_base_3!C29)</f>
        <v/>
      </c>
      <c r="D141" s="45" t="e">
        <f t="shared" si="87"/>
        <v>#DIV/0!</v>
      </c>
      <c r="E141" s="46" t="e">
        <f t="shared" si="88"/>
        <v>#DIV/0!</v>
      </c>
      <c r="F141" s="47" t="e">
        <f t="shared" si="100"/>
        <v>#DIV/0!</v>
      </c>
      <c r="G141" s="48" t="e">
        <f t="shared" si="101"/>
        <v>#VALUE!</v>
      </c>
      <c r="H141" s="48" t="e">
        <f t="shared" si="102"/>
        <v>#VALUE!</v>
      </c>
      <c r="I141" s="47" t="e">
        <f t="shared" si="103"/>
        <v>#VALUE!</v>
      </c>
      <c r="J141" s="47" t="e">
        <f t="shared" si="104"/>
        <v>#VALUE!</v>
      </c>
      <c r="K141" s="47" t="e">
        <f t="shared" si="105"/>
        <v>#VALUE!</v>
      </c>
      <c r="L141" s="49" t="e">
        <f t="shared" si="106"/>
        <v>#VALUE!</v>
      </c>
      <c r="M141" s="50" t="e">
        <f t="shared" si="107"/>
        <v>#VALUE!</v>
      </c>
      <c r="N141" s="51" t="e">
        <f t="shared" si="108"/>
        <v>#VALUE!</v>
      </c>
      <c r="O141" s="52" t="e">
        <f t="shared" si="109"/>
        <v>#VALUE!</v>
      </c>
      <c r="P141" s="28"/>
      <c r="R141" s="75"/>
    </row>
    <row r="142" spans="1:18" x14ac:dyDescent="0.45">
      <c r="A142" s="112">
        <f t="shared" si="99"/>
        <v>0</v>
      </c>
      <c r="B142" s="114" t="str">
        <f>IF(mtx_base_3!B30 = "","",mtx_base_3!B30)</f>
        <v/>
      </c>
      <c r="C142" s="114" t="str">
        <f>IF(mtx_base_3!C30 = "","",mtx_base_3!C30)</f>
        <v/>
      </c>
      <c r="D142" s="45" t="e">
        <f t="shared" si="87"/>
        <v>#DIV/0!</v>
      </c>
      <c r="E142" s="46" t="e">
        <f t="shared" si="88"/>
        <v>#DIV/0!</v>
      </c>
      <c r="F142" s="47" t="e">
        <f t="shared" si="100"/>
        <v>#DIV/0!</v>
      </c>
      <c r="G142" s="48" t="e">
        <f t="shared" si="101"/>
        <v>#VALUE!</v>
      </c>
      <c r="H142" s="48" t="e">
        <f t="shared" si="102"/>
        <v>#VALUE!</v>
      </c>
      <c r="I142" s="47" t="e">
        <f t="shared" si="103"/>
        <v>#VALUE!</v>
      </c>
      <c r="J142" s="47" t="e">
        <f t="shared" si="104"/>
        <v>#VALUE!</v>
      </c>
      <c r="K142" s="47" t="e">
        <f t="shared" si="105"/>
        <v>#VALUE!</v>
      </c>
      <c r="L142" s="49" t="e">
        <f t="shared" si="106"/>
        <v>#VALUE!</v>
      </c>
      <c r="M142" s="50" t="e">
        <f t="shared" si="107"/>
        <v>#VALUE!</v>
      </c>
      <c r="N142" s="51" t="e">
        <f t="shared" si="108"/>
        <v>#VALUE!</v>
      </c>
      <c r="O142" s="52" t="e">
        <f t="shared" si="109"/>
        <v>#VALUE!</v>
      </c>
      <c r="P142" s="28"/>
      <c r="R142" s="75"/>
    </row>
    <row r="143" spans="1:18" x14ac:dyDescent="0.45">
      <c r="A143" s="112">
        <f t="shared" si="99"/>
        <v>0</v>
      </c>
      <c r="B143" s="114" t="str">
        <f>IF(mtx_base_3!B31 = "","",mtx_base_3!B31)</f>
        <v/>
      </c>
      <c r="C143" s="114" t="str">
        <f>IF(mtx_base_3!C31 = "","",mtx_base_3!C31)</f>
        <v/>
      </c>
      <c r="D143" s="45" t="e">
        <f t="shared" si="87"/>
        <v>#DIV/0!</v>
      </c>
      <c r="E143" s="46" t="e">
        <f t="shared" si="88"/>
        <v>#DIV/0!</v>
      </c>
      <c r="F143" s="47" t="e">
        <f t="shared" si="100"/>
        <v>#DIV/0!</v>
      </c>
      <c r="G143" s="48" t="e">
        <f t="shared" si="101"/>
        <v>#VALUE!</v>
      </c>
      <c r="H143" s="48" t="e">
        <f t="shared" si="102"/>
        <v>#VALUE!</v>
      </c>
      <c r="I143" s="47" t="e">
        <f t="shared" si="103"/>
        <v>#VALUE!</v>
      </c>
      <c r="J143" s="47" t="e">
        <f t="shared" si="104"/>
        <v>#VALUE!</v>
      </c>
      <c r="K143" s="47" t="e">
        <f t="shared" si="105"/>
        <v>#VALUE!</v>
      </c>
      <c r="L143" s="49" t="e">
        <f t="shared" si="106"/>
        <v>#VALUE!</v>
      </c>
      <c r="M143" s="50" t="e">
        <f t="shared" si="107"/>
        <v>#VALUE!</v>
      </c>
      <c r="N143" s="51" t="e">
        <f t="shared" si="108"/>
        <v>#VALUE!</v>
      </c>
      <c r="O143" s="52" t="e">
        <f t="shared" si="109"/>
        <v>#VALUE!</v>
      </c>
      <c r="P143" s="28"/>
      <c r="R143" s="75"/>
    </row>
    <row r="144" spans="1:18" x14ac:dyDescent="0.45">
      <c r="A144" s="112">
        <f t="shared" si="99"/>
        <v>0</v>
      </c>
      <c r="B144" s="114" t="str">
        <f>IF(mtx_base_3!B32 = "","",mtx_base_3!B32)</f>
        <v/>
      </c>
      <c r="C144" s="114" t="str">
        <f>IF(mtx_base_3!C32 = "","",mtx_base_3!C32)</f>
        <v/>
      </c>
      <c r="D144" s="45" t="e">
        <f t="shared" si="87"/>
        <v>#DIV/0!</v>
      </c>
      <c r="E144" s="46" t="e">
        <f t="shared" si="88"/>
        <v>#DIV/0!</v>
      </c>
      <c r="F144" s="47" t="e">
        <f t="shared" si="100"/>
        <v>#DIV/0!</v>
      </c>
      <c r="G144" s="48" t="e">
        <f t="shared" si="101"/>
        <v>#VALUE!</v>
      </c>
      <c r="H144" s="48" t="e">
        <f t="shared" si="102"/>
        <v>#VALUE!</v>
      </c>
      <c r="I144" s="47" t="e">
        <f t="shared" si="103"/>
        <v>#VALUE!</v>
      </c>
      <c r="J144" s="47" t="e">
        <f t="shared" si="104"/>
        <v>#VALUE!</v>
      </c>
      <c r="K144" s="47" t="e">
        <f t="shared" si="105"/>
        <v>#VALUE!</v>
      </c>
      <c r="L144" s="49" t="e">
        <f t="shared" si="106"/>
        <v>#VALUE!</v>
      </c>
      <c r="M144" s="50" t="e">
        <f t="shared" si="107"/>
        <v>#VALUE!</v>
      </c>
      <c r="N144" s="51" t="e">
        <f t="shared" si="108"/>
        <v>#VALUE!</v>
      </c>
      <c r="O144" s="52" t="e">
        <f t="shared" si="109"/>
        <v>#VALUE!</v>
      </c>
      <c r="P144" s="28"/>
      <c r="R144" s="75"/>
    </row>
    <row r="145" spans="1:18" x14ac:dyDescent="0.45">
      <c r="A145" s="112">
        <f t="shared" si="99"/>
        <v>0</v>
      </c>
      <c r="B145" s="114" t="str">
        <f>IF(mtx_base_3!B33 = "","",mtx_base_3!B33)</f>
        <v/>
      </c>
      <c r="C145" s="114" t="str">
        <f>IF(mtx_base_3!C33 = "","",mtx_base_3!C33)</f>
        <v/>
      </c>
      <c r="D145" s="45" t="e">
        <f t="shared" si="87"/>
        <v>#DIV/0!</v>
      </c>
      <c r="E145" s="46" t="e">
        <f t="shared" si="88"/>
        <v>#DIV/0!</v>
      </c>
      <c r="F145" s="47" t="e">
        <f t="shared" si="100"/>
        <v>#DIV/0!</v>
      </c>
      <c r="G145" s="48" t="e">
        <f t="shared" si="101"/>
        <v>#VALUE!</v>
      </c>
      <c r="H145" s="48" t="e">
        <f t="shared" si="102"/>
        <v>#VALUE!</v>
      </c>
      <c r="I145" s="47" t="e">
        <f t="shared" si="103"/>
        <v>#VALUE!</v>
      </c>
      <c r="J145" s="47" t="e">
        <f t="shared" si="104"/>
        <v>#VALUE!</v>
      </c>
      <c r="K145" s="47" t="e">
        <f t="shared" si="105"/>
        <v>#VALUE!</v>
      </c>
      <c r="L145" s="49" t="e">
        <f t="shared" si="106"/>
        <v>#VALUE!</v>
      </c>
      <c r="M145" s="50" t="e">
        <f t="shared" si="107"/>
        <v>#VALUE!</v>
      </c>
      <c r="N145" s="51" t="e">
        <f t="shared" si="108"/>
        <v>#VALUE!</v>
      </c>
      <c r="O145" s="52" t="e">
        <f t="shared" si="109"/>
        <v>#VALUE!</v>
      </c>
      <c r="P145" s="28"/>
      <c r="R145" s="75"/>
    </row>
    <row r="146" spans="1:18" x14ac:dyDescent="0.45">
      <c r="A146" s="112">
        <f t="shared" si="99"/>
        <v>0</v>
      </c>
      <c r="B146" s="114" t="str">
        <f>IF(mtx_base_3!B34 = "","",mtx_base_3!B34)</f>
        <v/>
      </c>
      <c r="C146" s="114" t="str">
        <f>IF(mtx_base_3!C34 = "","",mtx_base_3!C34)</f>
        <v/>
      </c>
      <c r="D146" s="45" t="e">
        <f t="shared" si="87"/>
        <v>#DIV/0!</v>
      </c>
      <c r="E146" s="46" t="e">
        <f t="shared" si="88"/>
        <v>#DIV/0!</v>
      </c>
      <c r="F146" s="47" t="e">
        <f t="shared" si="100"/>
        <v>#DIV/0!</v>
      </c>
      <c r="G146" s="48" t="e">
        <f t="shared" si="101"/>
        <v>#VALUE!</v>
      </c>
      <c r="H146" s="48" t="e">
        <f t="shared" si="102"/>
        <v>#VALUE!</v>
      </c>
      <c r="I146" s="47" t="e">
        <f t="shared" si="103"/>
        <v>#VALUE!</v>
      </c>
      <c r="J146" s="47" t="e">
        <f t="shared" si="104"/>
        <v>#VALUE!</v>
      </c>
      <c r="K146" s="47" t="e">
        <f t="shared" si="105"/>
        <v>#VALUE!</v>
      </c>
      <c r="L146" s="49" t="e">
        <f t="shared" si="106"/>
        <v>#VALUE!</v>
      </c>
      <c r="M146" s="50" t="e">
        <f t="shared" si="107"/>
        <v>#VALUE!</v>
      </c>
      <c r="N146" s="51" t="e">
        <f t="shared" si="108"/>
        <v>#VALUE!</v>
      </c>
      <c r="O146" s="52" t="e">
        <f t="shared" si="109"/>
        <v>#VALUE!</v>
      </c>
      <c r="P146" s="28"/>
      <c r="R146" s="75"/>
    </row>
    <row r="147" spans="1:18" x14ac:dyDescent="0.45">
      <c r="A147" s="112">
        <f t="shared" si="99"/>
        <v>0</v>
      </c>
      <c r="B147" s="114" t="str">
        <f>IF(mtx_base_3!B35 = "","",mtx_base_3!B35)</f>
        <v/>
      </c>
      <c r="C147" s="114" t="str">
        <f>IF(mtx_base_3!C35 = "","",mtx_base_3!C35)</f>
        <v/>
      </c>
      <c r="D147" s="45" t="e">
        <f t="shared" si="87"/>
        <v>#DIV/0!</v>
      </c>
      <c r="E147" s="46" t="e">
        <f t="shared" si="88"/>
        <v>#DIV/0!</v>
      </c>
      <c r="F147" s="47" t="e">
        <f t="shared" si="100"/>
        <v>#DIV/0!</v>
      </c>
      <c r="G147" s="48" t="e">
        <f t="shared" si="101"/>
        <v>#VALUE!</v>
      </c>
      <c r="H147" s="48" t="e">
        <f t="shared" si="102"/>
        <v>#VALUE!</v>
      </c>
      <c r="I147" s="47" t="e">
        <f t="shared" si="103"/>
        <v>#VALUE!</v>
      </c>
      <c r="J147" s="47" t="e">
        <f t="shared" si="104"/>
        <v>#VALUE!</v>
      </c>
      <c r="K147" s="47" t="e">
        <f t="shared" si="105"/>
        <v>#VALUE!</v>
      </c>
      <c r="L147" s="49" t="e">
        <f t="shared" si="106"/>
        <v>#VALUE!</v>
      </c>
      <c r="M147" s="50" t="e">
        <f t="shared" si="107"/>
        <v>#VALUE!</v>
      </c>
      <c r="N147" s="51" t="e">
        <f t="shared" si="108"/>
        <v>#VALUE!</v>
      </c>
      <c r="O147" s="52" t="e">
        <f t="shared" si="109"/>
        <v>#VALUE!</v>
      </c>
      <c r="P147" s="28"/>
      <c r="R147" s="75"/>
    </row>
    <row r="148" spans="1:18" x14ac:dyDescent="0.45">
      <c r="A148" s="112">
        <f t="shared" si="99"/>
        <v>0</v>
      </c>
      <c r="B148" s="114" t="str">
        <f>IF(mtx_base_3!B36 = "","",mtx_base_3!B36)</f>
        <v/>
      </c>
      <c r="C148" s="114" t="str">
        <f>IF(mtx_base_3!C36 = "","",mtx_base_3!C36)</f>
        <v/>
      </c>
      <c r="D148" s="45" t="e">
        <f t="shared" si="87"/>
        <v>#DIV/0!</v>
      </c>
      <c r="E148" s="46" t="e">
        <f t="shared" si="88"/>
        <v>#DIV/0!</v>
      </c>
      <c r="F148" s="47" t="e">
        <f t="shared" si="100"/>
        <v>#DIV/0!</v>
      </c>
      <c r="G148" s="48" t="e">
        <f t="shared" si="101"/>
        <v>#VALUE!</v>
      </c>
      <c r="H148" s="48" t="e">
        <f t="shared" si="102"/>
        <v>#VALUE!</v>
      </c>
      <c r="I148" s="47" t="e">
        <f t="shared" si="103"/>
        <v>#VALUE!</v>
      </c>
      <c r="J148" s="47" t="e">
        <f t="shared" si="104"/>
        <v>#VALUE!</v>
      </c>
      <c r="K148" s="47" t="e">
        <f t="shared" si="105"/>
        <v>#VALUE!</v>
      </c>
      <c r="L148" s="49" t="e">
        <f t="shared" si="106"/>
        <v>#VALUE!</v>
      </c>
      <c r="M148" s="50" t="e">
        <f t="shared" si="107"/>
        <v>#VALUE!</v>
      </c>
      <c r="N148" s="51" t="e">
        <f t="shared" si="108"/>
        <v>#VALUE!</v>
      </c>
      <c r="O148" s="52" t="e">
        <f t="shared" si="109"/>
        <v>#VALUE!</v>
      </c>
      <c r="P148" s="28"/>
      <c r="R148" s="75"/>
    </row>
    <row r="149" spans="1:18" x14ac:dyDescent="0.45">
      <c r="A149" s="112">
        <f t="shared" si="99"/>
        <v>0</v>
      </c>
      <c r="B149" s="114" t="str">
        <f>IF(mtx_base_3!B37 = "","",mtx_base_3!B37)</f>
        <v/>
      </c>
      <c r="C149" s="114" t="str">
        <f>IF(mtx_base_3!C37 = "","",mtx_base_3!C37)</f>
        <v/>
      </c>
      <c r="D149" s="45" t="e">
        <f t="shared" si="87"/>
        <v>#DIV/0!</v>
      </c>
      <c r="E149" s="46" t="e">
        <f t="shared" si="88"/>
        <v>#DIV/0!</v>
      </c>
      <c r="F149" s="47" t="e">
        <f t="shared" si="100"/>
        <v>#DIV/0!</v>
      </c>
      <c r="G149" s="48" t="e">
        <f t="shared" si="101"/>
        <v>#VALUE!</v>
      </c>
      <c r="H149" s="48" t="e">
        <f t="shared" si="102"/>
        <v>#VALUE!</v>
      </c>
      <c r="I149" s="47" t="e">
        <f t="shared" si="103"/>
        <v>#VALUE!</v>
      </c>
      <c r="J149" s="47" t="e">
        <f t="shared" si="104"/>
        <v>#VALUE!</v>
      </c>
      <c r="K149" s="47" t="e">
        <f t="shared" si="105"/>
        <v>#VALUE!</v>
      </c>
      <c r="L149" s="49" t="e">
        <f t="shared" si="106"/>
        <v>#VALUE!</v>
      </c>
      <c r="M149" s="50" t="e">
        <f t="shared" si="107"/>
        <v>#VALUE!</v>
      </c>
      <c r="N149" s="51" t="e">
        <f t="shared" si="108"/>
        <v>#VALUE!</v>
      </c>
      <c r="O149" s="52" t="e">
        <f t="shared" si="109"/>
        <v>#VALUE!</v>
      </c>
      <c r="P149" s="28"/>
      <c r="R149" s="75"/>
    </row>
    <row r="150" spans="1:18" x14ac:dyDescent="0.45">
      <c r="A150" s="112">
        <f t="shared" si="99"/>
        <v>0</v>
      </c>
      <c r="B150" s="114" t="str">
        <f>IF(mtx_base_3!B38 = "","",mtx_base_3!B38)</f>
        <v/>
      </c>
      <c r="C150" s="114" t="str">
        <f>IF(mtx_base_3!C38 = "","",mtx_base_3!C38)</f>
        <v/>
      </c>
      <c r="D150" s="45" t="e">
        <f t="shared" si="87"/>
        <v>#DIV/0!</v>
      </c>
      <c r="E150" s="46" t="e">
        <f t="shared" si="88"/>
        <v>#DIV/0!</v>
      </c>
      <c r="F150" s="47" t="e">
        <f t="shared" si="100"/>
        <v>#DIV/0!</v>
      </c>
      <c r="G150" s="48" t="e">
        <f t="shared" si="101"/>
        <v>#VALUE!</v>
      </c>
      <c r="H150" s="48" t="e">
        <f t="shared" si="102"/>
        <v>#VALUE!</v>
      </c>
      <c r="I150" s="47" t="e">
        <f t="shared" si="103"/>
        <v>#VALUE!</v>
      </c>
      <c r="J150" s="47" t="e">
        <f t="shared" si="104"/>
        <v>#VALUE!</v>
      </c>
      <c r="K150" s="47" t="e">
        <f t="shared" si="105"/>
        <v>#VALUE!</v>
      </c>
      <c r="L150" s="49" t="e">
        <f t="shared" si="106"/>
        <v>#VALUE!</v>
      </c>
      <c r="M150" s="50" t="e">
        <f t="shared" si="107"/>
        <v>#VALUE!</v>
      </c>
      <c r="N150" s="51" t="e">
        <f t="shared" si="108"/>
        <v>#VALUE!</v>
      </c>
      <c r="O150" s="52" t="e">
        <f t="shared" si="109"/>
        <v>#VALUE!</v>
      </c>
      <c r="P150" s="28"/>
      <c r="R150" s="75"/>
    </row>
    <row r="151" spans="1:18" x14ac:dyDescent="0.45">
      <c r="A151" s="112">
        <f t="shared" si="99"/>
        <v>0</v>
      </c>
      <c r="B151" s="114" t="str">
        <f>IF(mtx_base_3!B39 = "","",mtx_base_3!B39)</f>
        <v/>
      </c>
      <c r="C151" s="114" t="str">
        <f>IF(mtx_base_3!C39 = "","",mtx_base_3!C39)</f>
        <v/>
      </c>
      <c r="D151" s="45" t="e">
        <f t="shared" si="87"/>
        <v>#DIV/0!</v>
      </c>
      <c r="E151" s="46" t="e">
        <f t="shared" si="88"/>
        <v>#DIV/0!</v>
      </c>
      <c r="F151" s="47" t="e">
        <f t="shared" si="100"/>
        <v>#DIV/0!</v>
      </c>
      <c r="G151" s="48" t="e">
        <f t="shared" si="101"/>
        <v>#VALUE!</v>
      </c>
      <c r="H151" s="48" t="e">
        <f t="shared" si="102"/>
        <v>#VALUE!</v>
      </c>
      <c r="I151" s="47" t="e">
        <f t="shared" si="103"/>
        <v>#VALUE!</v>
      </c>
      <c r="J151" s="47" t="e">
        <f t="shared" si="104"/>
        <v>#VALUE!</v>
      </c>
      <c r="K151" s="47" t="e">
        <f t="shared" si="105"/>
        <v>#VALUE!</v>
      </c>
      <c r="L151" s="49" t="e">
        <f t="shared" si="106"/>
        <v>#VALUE!</v>
      </c>
      <c r="M151" s="50" t="e">
        <f t="shared" si="107"/>
        <v>#VALUE!</v>
      </c>
      <c r="N151" s="51" t="e">
        <f t="shared" si="108"/>
        <v>#VALUE!</v>
      </c>
      <c r="O151" s="52" t="e">
        <f t="shared" si="109"/>
        <v>#VALUE!</v>
      </c>
      <c r="P151" s="28"/>
      <c r="R151" s="75"/>
    </row>
    <row r="152" spans="1:18" x14ac:dyDescent="0.45">
      <c r="A152" s="112">
        <f t="shared" si="99"/>
        <v>0</v>
      </c>
      <c r="B152" s="114" t="str">
        <f>IF(mtx_base_3!B40 = "","",mtx_base_3!B40)</f>
        <v/>
      </c>
      <c r="C152" s="114" t="str">
        <f>IF(mtx_base_3!C40 = "","",mtx_base_3!C40)</f>
        <v/>
      </c>
      <c r="D152" s="45" t="e">
        <f t="shared" si="87"/>
        <v>#DIV/0!</v>
      </c>
      <c r="E152" s="46" t="e">
        <f t="shared" si="88"/>
        <v>#DIV/0!</v>
      </c>
      <c r="F152" s="47" t="e">
        <f t="shared" si="100"/>
        <v>#DIV/0!</v>
      </c>
      <c r="G152" s="48" t="e">
        <f t="shared" si="101"/>
        <v>#VALUE!</v>
      </c>
      <c r="H152" s="48" t="e">
        <f t="shared" si="102"/>
        <v>#VALUE!</v>
      </c>
      <c r="I152" s="47" t="e">
        <f t="shared" si="103"/>
        <v>#VALUE!</v>
      </c>
      <c r="J152" s="47" t="e">
        <f t="shared" si="104"/>
        <v>#VALUE!</v>
      </c>
      <c r="K152" s="47" t="e">
        <f t="shared" si="105"/>
        <v>#VALUE!</v>
      </c>
      <c r="L152" s="49" t="e">
        <f t="shared" si="106"/>
        <v>#VALUE!</v>
      </c>
      <c r="M152" s="50" t="e">
        <f t="shared" si="107"/>
        <v>#VALUE!</v>
      </c>
      <c r="N152" s="51" t="e">
        <f t="shared" si="108"/>
        <v>#VALUE!</v>
      </c>
      <c r="O152" s="52" t="e">
        <f t="shared" si="109"/>
        <v>#VALUE!</v>
      </c>
      <c r="P152" s="28"/>
      <c r="R152" s="75"/>
    </row>
    <row r="153" spans="1:18" x14ac:dyDescent="0.45">
      <c r="A153" s="112">
        <f t="shared" si="99"/>
        <v>0</v>
      </c>
      <c r="B153" s="114" t="str">
        <f>IF(mtx_base_3!B41 = "","",mtx_base_3!B41)</f>
        <v/>
      </c>
      <c r="C153" s="114" t="str">
        <f>IF(mtx_base_3!C41 = "","",mtx_base_3!C41)</f>
        <v/>
      </c>
      <c r="D153" s="45" t="e">
        <f t="shared" si="87"/>
        <v>#DIV/0!</v>
      </c>
      <c r="E153" s="46" t="e">
        <f t="shared" si="88"/>
        <v>#DIV/0!</v>
      </c>
      <c r="F153" s="47" t="e">
        <f t="shared" si="100"/>
        <v>#DIV/0!</v>
      </c>
      <c r="G153" s="48" t="e">
        <f t="shared" si="101"/>
        <v>#VALUE!</v>
      </c>
      <c r="H153" s="48" t="e">
        <f t="shared" si="102"/>
        <v>#VALUE!</v>
      </c>
      <c r="I153" s="47" t="e">
        <f t="shared" si="103"/>
        <v>#VALUE!</v>
      </c>
      <c r="J153" s="47" t="e">
        <f t="shared" si="104"/>
        <v>#VALUE!</v>
      </c>
      <c r="K153" s="47" t="e">
        <f t="shared" si="105"/>
        <v>#VALUE!</v>
      </c>
      <c r="L153" s="49" t="e">
        <f t="shared" si="106"/>
        <v>#VALUE!</v>
      </c>
      <c r="M153" s="50" t="e">
        <f t="shared" si="107"/>
        <v>#VALUE!</v>
      </c>
      <c r="N153" s="51" t="e">
        <f t="shared" si="108"/>
        <v>#VALUE!</v>
      </c>
      <c r="O153" s="52" t="e">
        <f t="shared" si="109"/>
        <v>#VALUE!</v>
      </c>
      <c r="P153" s="28"/>
      <c r="R153" s="75"/>
    </row>
    <row r="154" spans="1:18" x14ac:dyDescent="0.45">
      <c r="A154" s="112">
        <f t="shared" si="99"/>
        <v>0</v>
      </c>
      <c r="B154" s="114" t="str">
        <f>IF(mtx_base_3!B42 = "","",mtx_base_3!B42)</f>
        <v/>
      </c>
      <c r="C154" s="114" t="str">
        <f>IF(mtx_base_3!C42 = "","",mtx_base_3!C42)</f>
        <v/>
      </c>
      <c r="D154" s="45" t="e">
        <f t="shared" si="87"/>
        <v>#DIV/0!</v>
      </c>
      <c r="E154" s="46" t="e">
        <f t="shared" si="88"/>
        <v>#DIV/0!</v>
      </c>
      <c r="F154" s="47" t="e">
        <f t="shared" si="100"/>
        <v>#DIV/0!</v>
      </c>
      <c r="G154" s="48" t="e">
        <f t="shared" si="101"/>
        <v>#VALUE!</v>
      </c>
      <c r="H154" s="48" t="e">
        <f t="shared" si="102"/>
        <v>#VALUE!</v>
      </c>
      <c r="I154" s="47" t="e">
        <f t="shared" si="103"/>
        <v>#VALUE!</v>
      </c>
      <c r="J154" s="47" t="e">
        <f t="shared" si="104"/>
        <v>#VALUE!</v>
      </c>
      <c r="K154" s="47" t="e">
        <f t="shared" si="105"/>
        <v>#VALUE!</v>
      </c>
      <c r="L154" s="49" t="e">
        <f t="shared" si="106"/>
        <v>#VALUE!</v>
      </c>
      <c r="M154" s="50" t="e">
        <f t="shared" si="107"/>
        <v>#VALUE!</v>
      </c>
      <c r="N154" s="51" t="e">
        <f t="shared" si="108"/>
        <v>#VALUE!</v>
      </c>
      <c r="O154" s="52" t="e">
        <f t="shared" si="109"/>
        <v>#VALUE!</v>
      </c>
      <c r="P154" s="28"/>
      <c r="R154" s="75"/>
    </row>
    <row r="155" spans="1:18" x14ac:dyDescent="0.45">
      <c r="A155" s="112">
        <f t="shared" si="99"/>
        <v>0</v>
      </c>
      <c r="B155" s="114" t="str">
        <f>IF(mtx_base_3!B43 = "","",mtx_base_3!B43)</f>
        <v/>
      </c>
      <c r="C155" s="114" t="str">
        <f>IF(mtx_base_3!C43 = "","",mtx_base_3!C43)</f>
        <v/>
      </c>
      <c r="D155" s="45" t="e">
        <f t="shared" si="87"/>
        <v>#DIV/0!</v>
      </c>
      <c r="E155" s="46" t="e">
        <f t="shared" si="88"/>
        <v>#DIV/0!</v>
      </c>
      <c r="F155" s="47" t="e">
        <f t="shared" si="100"/>
        <v>#DIV/0!</v>
      </c>
      <c r="G155" s="48" t="e">
        <f t="shared" si="101"/>
        <v>#VALUE!</v>
      </c>
      <c r="H155" s="48" t="e">
        <f t="shared" si="102"/>
        <v>#VALUE!</v>
      </c>
      <c r="I155" s="47" t="e">
        <f t="shared" si="103"/>
        <v>#VALUE!</v>
      </c>
      <c r="J155" s="47" t="e">
        <f t="shared" si="104"/>
        <v>#VALUE!</v>
      </c>
      <c r="K155" s="47" t="e">
        <f t="shared" si="105"/>
        <v>#VALUE!</v>
      </c>
      <c r="L155" s="49" t="e">
        <f t="shared" si="106"/>
        <v>#VALUE!</v>
      </c>
      <c r="M155" s="50" t="e">
        <f t="shared" si="107"/>
        <v>#VALUE!</v>
      </c>
      <c r="N155" s="51" t="e">
        <f t="shared" si="108"/>
        <v>#VALUE!</v>
      </c>
      <c r="O155" s="52" t="e">
        <f t="shared" si="109"/>
        <v>#VALUE!</v>
      </c>
      <c r="P155" s="28"/>
      <c r="R155" s="75"/>
    </row>
    <row r="156" spans="1:18" x14ac:dyDescent="0.45">
      <c r="A156" s="112">
        <f t="shared" si="99"/>
        <v>0</v>
      </c>
      <c r="B156" s="114" t="str">
        <f>IF(mtx_base_3!B44 = "","",mtx_base_3!B44)</f>
        <v/>
      </c>
      <c r="C156" s="114" t="str">
        <f>IF(mtx_base_3!C44 = "","",mtx_base_3!C44)</f>
        <v/>
      </c>
      <c r="D156" s="45" t="e">
        <f t="shared" si="87"/>
        <v>#DIV/0!</v>
      </c>
      <c r="E156" s="46" t="e">
        <f t="shared" si="88"/>
        <v>#DIV/0!</v>
      </c>
      <c r="F156" s="47" t="e">
        <f t="shared" ref="F156" si="110">IF(AND(B156&lt;D156,C156&lt;E156),"Blue",(IF(AND(B156&lt;D156,C156&gt;E156),"Red",(IF(AND(B156&gt;D156,C156&gt;E156),"Green",(IF(AND(B156&gt;D156,C156&lt;E156),"Yellow")))))))</f>
        <v>#DIV/0!</v>
      </c>
      <c r="G156" s="48" t="e">
        <f t="shared" ref="G156" si="111">B156-D156</f>
        <v>#VALUE!</v>
      </c>
      <c r="H156" s="48" t="e">
        <f t="shared" ref="H156" si="112">C156-E156</f>
        <v>#VALUE!</v>
      </c>
      <c r="I156" s="47" t="e">
        <f t="shared" ref="I156" si="113">IF((ABS(G156)&lt;$E$127),"TIE",F156)</f>
        <v>#VALUE!</v>
      </c>
      <c r="J156" s="47" t="e">
        <f t="shared" ref="J156" si="114">IF((ABS(H156)&lt;$F$127),"TIE",F156)</f>
        <v>#VALUE!</v>
      </c>
      <c r="K156" s="47" t="e">
        <f t="shared" ref="K156" si="115">IF(AND(I156&lt;&gt;"TIE",J156&lt;&gt;"TIE"),F156,"TIE")</f>
        <v>#VALUE!</v>
      </c>
      <c r="L156" s="49" t="e">
        <f t="shared" ref="L156" si="116">IF(AND(I156="TIE",C156&gt;E156),"Red/Green",(IF(AND(I156="TIE",C156&lt;E156),"Blue/Yellow",(IF(AND(B156&lt;D156,J156="TIE"),"Red/Blue",(IF(AND(B156&gt;D156,J156="TIE"),"Green/Yellow")))))))</f>
        <v>#VALUE!</v>
      </c>
      <c r="M156" s="50" t="e">
        <f t="shared" ref="M156" si="117">IF(AND(I156="TIE",J156="TIE"),"Four Way Tie",IF(L156=FALSE,K156,L156))</f>
        <v>#VALUE!</v>
      </c>
      <c r="N156" s="51" t="e">
        <f t="shared" ref="N156:O156" si="118">M156</f>
        <v>#VALUE!</v>
      </c>
      <c r="O156" s="52" t="e">
        <f t="shared" si="118"/>
        <v>#VALUE!</v>
      </c>
      <c r="P156" s="28"/>
      <c r="R156" s="75"/>
    </row>
    <row r="157" spans="1:18" x14ac:dyDescent="0.45">
      <c r="A157" s="112">
        <f t="shared" si="99"/>
        <v>0</v>
      </c>
      <c r="B157" s="114" t="str">
        <f>IF(mtx_base_3!B45 = "","",mtx_base_3!B45)</f>
        <v/>
      </c>
      <c r="C157" s="114" t="str">
        <f>IF(mtx_base_3!C45 = "","",mtx_base_3!C45)</f>
        <v/>
      </c>
      <c r="D157" s="45" t="e">
        <f t="shared" ref="D157:D180" si="119">$B$126</f>
        <v>#DIV/0!</v>
      </c>
      <c r="E157" s="46" t="e">
        <f t="shared" ref="E157:E180" si="120">$C$126</f>
        <v>#DIV/0!</v>
      </c>
      <c r="F157" s="47" t="e">
        <f t="shared" ref="F157:F172" si="121">IF(AND(B157&lt;D157,C157&lt;E157),"Blue",(IF(AND(B157&lt;D157,C157&gt;E157),"Red",(IF(AND(B157&gt;D157,C157&gt;E157),"Green",(IF(AND(B157&gt;D157,C157&lt;E157),"Yellow")))))))</f>
        <v>#DIV/0!</v>
      </c>
      <c r="G157" s="48" t="e">
        <f t="shared" ref="G157:H176" si="122">B157-D157</f>
        <v>#VALUE!</v>
      </c>
      <c r="H157" s="48" t="e">
        <f t="shared" si="122"/>
        <v>#VALUE!</v>
      </c>
      <c r="I157" s="47" t="e">
        <f t="shared" ref="I157:I180" si="123">IF((ABS(G157)&lt;$E$127),"TIE",F157)</f>
        <v>#VALUE!</v>
      </c>
      <c r="J157" s="47" t="e">
        <f t="shared" ref="J157:J180" si="124">IF((ABS(H157)&lt;$F$127),"TIE",F157)</f>
        <v>#VALUE!</v>
      </c>
      <c r="K157" s="47" t="e">
        <f t="shared" ref="K157:K180" si="125">IF(AND(I157&lt;&gt;"TIE",J157&lt;&gt;"TIE"),F157,"TIE")</f>
        <v>#VALUE!</v>
      </c>
      <c r="L157" s="49" t="e">
        <f t="shared" ref="L157:L180" si="126">IF(AND(I157="TIE",C157&gt;E157),"Red/Green",(IF(AND(I157="TIE",C157&lt;E157),"Blue/Yellow",(IF(AND(B157&lt;D157,J157="TIE"),"Red/Blue",(IF(AND(B157&gt;D157,J157="TIE"),"Green/Yellow")))))))</f>
        <v>#VALUE!</v>
      </c>
      <c r="M157" s="50" t="e">
        <f t="shared" ref="M157:M180" si="127">IF(AND(I157="TIE",J157="TIE"),"Four Way Tie",IF(L157=FALSE,K157,L157))</f>
        <v>#VALUE!</v>
      </c>
      <c r="N157" s="51" t="e">
        <f t="shared" ref="N157:O172" si="128">M157</f>
        <v>#VALUE!</v>
      </c>
      <c r="O157" s="52" t="e">
        <f t="shared" si="128"/>
        <v>#VALUE!</v>
      </c>
      <c r="P157" s="28"/>
      <c r="R157" s="75"/>
    </row>
    <row r="158" spans="1:18" x14ac:dyDescent="0.45">
      <c r="A158" s="112">
        <f t="shared" si="99"/>
        <v>0</v>
      </c>
      <c r="B158" s="114" t="str">
        <f>IF(mtx_base_3!B46 = "","",mtx_base_3!B46)</f>
        <v/>
      </c>
      <c r="C158" s="114" t="str">
        <f>IF(mtx_base_3!C46 = "","",mtx_base_3!C46)</f>
        <v/>
      </c>
      <c r="D158" s="45" t="e">
        <f t="shared" si="119"/>
        <v>#DIV/0!</v>
      </c>
      <c r="E158" s="46" t="e">
        <f t="shared" si="120"/>
        <v>#DIV/0!</v>
      </c>
      <c r="F158" s="47" t="e">
        <f t="shared" si="121"/>
        <v>#DIV/0!</v>
      </c>
      <c r="G158" s="48" t="e">
        <f t="shared" si="122"/>
        <v>#VALUE!</v>
      </c>
      <c r="H158" s="48" t="e">
        <f t="shared" si="122"/>
        <v>#VALUE!</v>
      </c>
      <c r="I158" s="47" t="e">
        <f t="shared" si="123"/>
        <v>#VALUE!</v>
      </c>
      <c r="J158" s="47" t="e">
        <f t="shared" si="124"/>
        <v>#VALUE!</v>
      </c>
      <c r="K158" s="47" t="e">
        <f t="shared" si="125"/>
        <v>#VALUE!</v>
      </c>
      <c r="L158" s="49" t="e">
        <f t="shared" si="126"/>
        <v>#VALUE!</v>
      </c>
      <c r="M158" s="50" t="e">
        <f t="shared" si="127"/>
        <v>#VALUE!</v>
      </c>
      <c r="N158" s="51" t="e">
        <f t="shared" si="128"/>
        <v>#VALUE!</v>
      </c>
      <c r="O158" s="52" t="e">
        <f t="shared" si="128"/>
        <v>#VALUE!</v>
      </c>
      <c r="P158" s="28"/>
      <c r="R158" s="75"/>
    </row>
    <row r="159" spans="1:18" x14ac:dyDescent="0.45">
      <c r="A159" s="112">
        <f t="shared" si="99"/>
        <v>0</v>
      </c>
      <c r="B159" s="114" t="str">
        <f>IF(mtx_base_3!B47 = "","",mtx_base_3!B47)</f>
        <v/>
      </c>
      <c r="C159" s="114" t="str">
        <f>IF(mtx_base_3!C47 = "","",mtx_base_3!C47)</f>
        <v/>
      </c>
      <c r="D159" s="45" t="e">
        <f t="shared" si="119"/>
        <v>#DIV/0!</v>
      </c>
      <c r="E159" s="46" t="e">
        <f t="shared" si="120"/>
        <v>#DIV/0!</v>
      </c>
      <c r="F159" s="47" t="e">
        <f t="shared" si="121"/>
        <v>#DIV/0!</v>
      </c>
      <c r="G159" s="48" t="e">
        <f t="shared" si="122"/>
        <v>#VALUE!</v>
      </c>
      <c r="H159" s="48" t="e">
        <f t="shared" si="122"/>
        <v>#VALUE!</v>
      </c>
      <c r="I159" s="47" t="e">
        <f t="shared" si="123"/>
        <v>#VALUE!</v>
      </c>
      <c r="J159" s="47" t="e">
        <f t="shared" si="124"/>
        <v>#VALUE!</v>
      </c>
      <c r="K159" s="47" t="e">
        <f t="shared" si="125"/>
        <v>#VALUE!</v>
      </c>
      <c r="L159" s="49" t="e">
        <f t="shared" si="126"/>
        <v>#VALUE!</v>
      </c>
      <c r="M159" s="50" t="e">
        <f t="shared" si="127"/>
        <v>#VALUE!</v>
      </c>
      <c r="N159" s="51" t="e">
        <f t="shared" si="128"/>
        <v>#VALUE!</v>
      </c>
      <c r="O159" s="52" t="e">
        <f t="shared" si="128"/>
        <v>#VALUE!</v>
      </c>
      <c r="P159" s="28"/>
      <c r="R159" s="75"/>
    </row>
    <row r="160" spans="1:18" x14ac:dyDescent="0.45">
      <c r="A160" s="112">
        <f t="shared" si="99"/>
        <v>0</v>
      </c>
      <c r="B160" s="114" t="str">
        <f>IF(mtx_base_3!B48 = "","",mtx_base_3!B48)</f>
        <v/>
      </c>
      <c r="C160" s="114" t="str">
        <f>IF(mtx_base_3!C48 = "","",mtx_base_3!C48)</f>
        <v/>
      </c>
      <c r="D160" s="45" t="e">
        <f t="shared" si="119"/>
        <v>#DIV/0!</v>
      </c>
      <c r="E160" s="46" t="e">
        <f t="shared" si="120"/>
        <v>#DIV/0!</v>
      </c>
      <c r="F160" s="47" t="e">
        <f t="shared" si="121"/>
        <v>#DIV/0!</v>
      </c>
      <c r="G160" s="48" t="e">
        <f t="shared" si="122"/>
        <v>#VALUE!</v>
      </c>
      <c r="H160" s="48" t="e">
        <f t="shared" si="122"/>
        <v>#VALUE!</v>
      </c>
      <c r="I160" s="47" t="e">
        <f t="shared" si="123"/>
        <v>#VALUE!</v>
      </c>
      <c r="J160" s="47" t="e">
        <f t="shared" si="124"/>
        <v>#VALUE!</v>
      </c>
      <c r="K160" s="47" t="e">
        <f t="shared" si="125"/>
        <v>#VALUE!</v>
      </c>
      <c r="L160" s="49" t="e">
        <f t="shared" si="126"/>
        <v>#VALUE!</v>
      </c>
      <c r="M160" s="50" t="e">
        <f t="shared" si="127"/>
        <v>#VALUE!</v>
      </c>
      <c r="N160" s="51" t="e">
        <f t="shared" si="128"/>
        <v>#VALUE!</v>
      </c>
      <c r="O160" s="52" t="e">
        <f t="shared" si="128"/>
        <v>#VALUE!</v>
      </c>
      <c r="P160" s="28"/>
      <c r="R160" s="75"/>
    </row>
    <row r="161" spans="1:18" x14ac:dyDescent="0.45">
      <c r="A161" s="112">
        <f t="shared" si="99"/>
        <v>0</v>
      </c>
      <c r="B161" s="114" t="str">
        <f>IF(mtx_base_3!B49 = "","",mtx_base_3!B49)</f>
        <v/>
      </c>
      <c r="C161" s="114" t="str">
        <f>IF(mtx_base_3!C49 = "","",mtx_base_3!C49)</f>
        <v/>
      </c>
      <c r="D161" s="45" t="e">
        <f t="shared" si="119"/>
        <v>#DIV/0!</v>
      </c>
      <c r="E161" s="46" t="e">
        <f t="shared" si="120"/>
        <v>#DIV/0!</v>
      </c>
      <c r="F161" s="47" t="e">
        <f t="shared" si="121"/>
        <v>#DIV/0!</v>
      </c>
      <c r="G161" s="48" t="e">
        <f t="shared" si="122"/>
        <v>#VALUE!</v>
      </c>
      <c r="H161" s="48" t="e">
        <f t="shared" si="122"/>
        <v>#VALUE!</v>
      </c>
      <c r="I161" s="47" t="e">
        <f t="shared" si="123"/>
        <v>#VALUE!</v>
      </c>
      <c r="J161" s="47" t="e">
        <f t="shared" si="124"/>
        <v>#VALUE!</v>
      </c>
      <c r="K161" s="47" t="e">
        <f t="shared" si="125"/>
        <v>#VALUE!</v>
      </c>
      <c r="L161" s="49" t="e">
        <f t="shared" si="126"/>
        <v>#VALUE!</v>
      </c>
      <c r="M161" s="50" t="e">
        <f t="shared" si="127"/>
        <v>#VALUE!</v>
      </c>
      <c r="N161" s="51" t="e">
        <f t="shared" si="128"/>
        <v>#VALUE!</v>
      </c>
      <c r="O161" s="52" t="e">
        <f t="shared" si="128"/>
        <v>#VALUE!</v>
      </c>
      <c r="P161" s="28"/>
      <c r="R161" s="75"/>
    </row>
    <row r="162" spans="1:18" x14ac:dyDescent="0.45">
      <c r="A162" s="112">
        <f t="shared" si="99"/>
        <v>0</v>
      </c>
      <c r="B162" s="114" t="str">
        <f>IF(mtx_base_3!B50 = "","",mtx_base_3!B50)</f>
        <v/>
      </c>
      <c r="C162" s="114" t="str">
        <f>IF(mtx_base_3!C50 = "","",mtx_base_3!C50)</f>
        <v/>
      </c>
      <c r="D162" s="45" t="e">
        <f t="shared" si="119"/>
        <v>#DIV/0!</v>
      </c>
      <c r="E162" s="46" t="e">
        <f t="shared" si="120"/>
        <v>#DIV/0!</v>
      </c>
      <c r="F162" s="47" t="e">
        <f t="shared" si="121"/>
        <v>#DIV/0!</v>
      </c>
      <c r="G162" s="48" t="e">
        <f t="shared" si="122"/>
        <v>#VALUE!</v>
      </c>
      <c r="H162" s="48" t="e">
        <f t="shared" si="122"/>
        <v>#VALUE!</v>
      </c>
      <c r="I162" s="47" t="e">
        <f t="shared" si="123"/>
        <v>#VALUE!</v>
      </c>
      <c r="J162" s="47" t="e">
        <f t="shared" si="124"/>
        <v>#VALUE!</v>
      </c>
      <c r="K162" s="47" t="e">
        <f t="shared" si="125"/>
        <v>#VALUE!</v>
      </c>
      <c r="L162" s="49" t="e">
        <f t="shared" si="126"/>
        <v>#VALUE!</v>
      </c>
      <c r="M162" s="50" t="e">
        <f t="shared" si="127"/>
        <v>#VALUE!</v>
      </c>
      <c r="N162" s="51" t="e">
        <f t="shared" si="128"/>
        <v>#VALUE!</v>
      </c>
      <c r="O162" s="52" t="e">
        <f t="shared" si="128"/>
        <v>#VALUE!</v>
      </c>
      <c r="P162" s="28"/>
      <c r="R162" s="75"/>
    </row>
    <row r="163" spans="1:18" x14ac:dyDescent="0.45">
      <c r="A163" s="112">
        <f t="shared" si="99"/>
        <v>0</v>
      </c>
      <c r="B163" s="114" t="str">
        <f>IF(mtx_base_3!B51 = "","",mtx_base_3!B51)</f>
        <v/>
      </c>
      <c r="C163" s="114" t="str">
        <f>IF(mtx_base_3!C51 = "","",mtx_base_3!C51)</f>
        <v/>
      </c>
      <c r="D163" s="45" t="e">
        <f t="shared" si="119"/>
        <v>#DIV/0!</v>
      </c>
      <c r="E163" s="46" t="e">
        <f t="shared" si="120"/>
        <v>#DIV/0!</v>
      </c>
      <c r="F163" s="47" t="e">
        <f t="shared" si="121"/>
        <v>#DIV/0!</v>
      </c>
      <c r="G163" s="48" t="e">
        <f t="shared" si="122"/>
        <v>#VALUE!</v>
      </c>
      <c r="H163" s="48" t="e">
        <f t="shared" si="122"/>
        <v>#VALUE!</v>
      </c>
      <c r="I163" s="47" t="e">
        <f t="shared" si="123"/>
        <v>#VALUE!</v>
      </c>
      <c r="J163" s="47" t="e">
        <f t="shared" si="124"/>
        <v>#VALUE!</v>
      </c>
      <c r="K163" s="47" t="e">
        <f t="shared" si="125"/>
        <v>#VALUE!</v>
      </c>
      <c r="L163" s="49" t="e">
        <f t="shared" si="126"/>
        <v>#VALUE!</v>
      </c>
      <c r="M163" s="50" t="e">
        <f t="shared" si="127"/>
        <v>#VALUE!</v>
      </c>
      <c r="N163" s="51" t="e">
        <f t="shared" si="128"/>
        <v>#VALUE!</v>
      </c>
      <c r="O163" s="52" t="e">
        <f t="shared" si="128"/>
        <v>#VALUE!</v>
      </c>
      <c r="P163" s="28"/>
      <c r="R163" s="75"/>
    </row>
    <row r="164" spans="1:18" x14ac:dyDescent="0.45">
      <c r="A164" s="112">
        <f t="shared" si="99"/>
        <v>0</v>
      </c>
      <c r="B164" s="114" t="str">
        <f>IF(mtx_base_3!B52 = "","",mtx_base_3!B52)</f>
        <v/>
      </c>
      <c r="C164" s="114" t="str">
        <f>IF(mtx_base_3!C52 = "","",mtx_base_3!C52)</f>
        <v/>
      </c>
      <c r="D164" s="45" t="e">
        <f t="shared" si="119"/>
        <v>#DIV/0!</v>
      </c>
      <c r="E164" s="46" t="e">
        <f t="shared" si="120"/>
        <v>#DIV/0!</v>
      </c>
      <c r="F164" s="47" t="e">
        <f>IF(AND(B164&lt;D164,C164&lt;E164),"Blue",(IF(AND(B164&lt;D164,C164&gt;E164),"Red",(IF(AND(B164&gt;D164,C164&gt;E164),"Green",(IF(AND(B164&gt;D164,C164&lt;E164),"Yellow")))))))</f>
        <v>#DIV/0!</v>
      </c>
      <c r="G164" s="48" t="e">
        <f>B164-D164</f>
        <v>#VALUE!</v>
      </c>
      <c r="H164" s="48" t="e">
        <f>C164-E164</f>
        <v>#VALUE!</v>
      </c>
      <c r="I164" s="47" t="e">
        <f>IF((ABS(G164)&lt;$E$127),"TIE",F164)</f>
        <v>#VALUE!</v>
      </c>
      <c r="J164" s="47" t="e">
        <f>IF((ABS(H164)&lt;$F$127),"TIE",F164)</f>
        <v>#VALUE!</v>
      </c>
      <c r="K164" s="47" t="e">
        <f>IF(AND(I164&lt;&gt;"TIE",J164&lt;&gt;"TIE"),F164,"TIE")</f>
        <v>#VALUE!</v>
      </c>
      <c r="L164" s="49" t="e">
        <f>IF(AND(I164="TIE",C164&gt;E164),"Red/Green",(IF(AND(I164="TIE",C164&lt;E164),"Blue/Yellow",(IF(AND(B164&lt;D164,J164="TIE"),"Red/Blue",(IF(AND(B164&gt;D164,J164="TIE"),"Green/Yellow")))))))</f>
        <v>#VALUE!</v>
      </c>
      <c r="M164" s="50" t="e">
        <f>IF(AND(I164="TIE",J164="TIE"),"Four Way Tie",IF(L164=FALSE,K164,L164))</f>
        <v>#VALUE!</v>
      </c>
      <c r="N164" s="51" t="e">
        <f t="shared" si="128"/>
        <v>#VALUE!</v>
      </c>
      <c r="O164" s="52" t="e">
        <f t="shared" si="128"/>
        <v>#VALUE!</v>
      </c>
      <c r="P164" s="28"/>
      <c r="R164" s="75"/>
    </row>
    <row r="165" spans="1:18" x14ac:dyDescent="0.45">
      <c r="A165" s="112">
        <f t="shared" si="99"/>
        <v>0</v>
      </c>
      <c r="B165" s="114" t="str">
        <f>IF(mtx_base_3!B53 = "","",mtx_base_3!B53)</f>
        <v/>
      </c>
      <c r="C165" s="114" t="str">
        <f>IF(mtx_base_3!C53 = "","",mtx_base_3!C53)</f>
        <v/>
      </c>
      <c r="D165" s="45" t="e">
        <f t="shared" si="119"/>
        <v>#DIV/0!</v>
      </c>
      <c r="E165" s="46" t="e">
        <f t="shared" si="120"/>
        <v>#DIV/0!</v>
      </c>
      <c r="F165" s="47" t="e">
        <f t="shared" si="121"/>
        <v>#DIV/0!</v>
      </c>
      <c r="G165" s="48" t="e">
        <f t="shared" si="122"/>
        <v>#VALUE!</v>
      </c>
      <c r="H165" s="48" t="e">
        <f t="shared" si="122"/>
        <v>#VALUE!</v>
      </c>
      <c r="I165" s="47" t="e">
        <f t="shared" si="123"/>
        <v>#VALUE!</v>
      </c>
      <c r="J165" s="47" t="e">
        <f t="shared" si="124"/>
        <v>#VALUE!</v>
      </c>
      <c r="K165" s="47" t="e">
        <f t="shared" si="125"/>
        <v>#VALUE!</v>
      </c>
      <c r="L165" s="49" t="e">
        <f t="shared" si="126"/>
        <v>#VALUE!</v>
      </c>
      <c r="M165" s="50" t="e">
        <f t="shared" si="127"/>
        <v>#VALUE!</v>
      </c>
      <c r="N165" s="51" t="e">
        <f t="shared" si="128"/>
        <v>#VALUE!</v>
      </c>
      <c r="O165" s="52" t="e">
        <f t="shared" si="128"/>
        <v>#VALUE!</v>
      </c>
      <c r="P165" s="28"/>
      <c r="R165" s="75"/>
    </row>
    <row r="166" spans="1:18" x14ac:dyDescent="0.45">
      <c r="A166" s="112">
        <f t="shared" si="99"/>
        <v>0</v>
      </c>
      <c r="B166" s="114" t="str">
        <f>IF(mtx_base_3!B54 = "","",mtx_base_3!B54)</f>
        <v/>
      </c>
      <c r="C166" s="114" t="str">
        <f>IF(mtx_base_3!C54 = "","",mtx_base_3!C54)</f>
        <v/>
      </c>
      <c r="D166" s="45" t="e">
        <f t="shared" si="119"/>
        <v>#DIV/0!</v>
      </c>
      <c r="E166" s="46" t="e">
        <f t="shared" si="120"/>
        <v>#DIV/0!</v>
      </c>
      <c r="F166" s="47" t="e">
        <f t="shared" si="121"/>
        <v>#DIV/0!</v>
      </c>
      <c r="G166" s="48" t="e">
        <f t="shared" si="122"/>
        <v>#VALUE!</v>
      </c>
      <c r="H166" s="48" t="e">
        <f t="shared" si="122"/>
        <v>#VALUE!</v>
      </c>
      <c r="I166" s="47" t="e">
        <f t="shared" si="123"/>
        <v>#VALUE!</v>
      </c>
      <c r="J166" s="47" t="e">
        <f t="shared" si="124"/>
        <v>#VALUE!</v>
      </c>
      <c r="K166" s="47" t="e">
        <f t="shared" si="125"/>
        <v>#VALUE!</v>
      </c>
      <c r="L166" s="49" t="e">
        <f t="shared" si="126"/>
        <v>#VALUE!</v>
      </c>
      <c r="M166" s="50" t="e">
        <f t="shared" si="127"/>
        <v>#VALUE!</v>
      </c>
      <c r="N166" s="51" t="e">
        <f t="shared" si="128"/>
        <v>#VALUE!</v>
      </c>
      <c r="O166" s="52" t="e">
        <f t="shared" si="128"/>
        <v>#VALUE!</v>
      </c>
      <c r="P166" s="28"/>
      <c r="R166" s="75"/>
    </row>
    <row r="167" spans="1:18" x14ac:dyDescent="0.45">
      <c r="A167" s="112">
        <f t="shared" si="99"/>
        <v>0</v>
      </c>
      <c r="B167" s="114" t="str">
        <f>IF(mtx_base_3!B55 = "","",mtx_base_3!B55)</f>
        <v/>
      </c>
      <c r="C167" s="114" t="str">
        <f>IF(mtx_base_3!C55 = "","",mtx_base_3!C55)</f>
        <v/>
      </c>
      <c r="D167" s="45" t="e">
        <f t="shared" si="119"/>
        <v>#DIV/0!</v>
      </c>
      <c r="E167" s="46" t="e">
        <f t="shared" si="120"/>
        <v>#DIV/0!</v>
      </c>
      <c r="F167" s="47" t="e">
        <f t="shared" si="121"/>
        <v>#DIV/0!</v>
      </c>
      <c r="G167" s="48" t="e">
        <f t="shared" si="122"/>
        <v>#VALUE!</v>
      </c>
      <c r="H167" s="48" t="e">
        <f t="shared" si="122"/>
        <v>#VALUE!</v>
      </c>
      <c r="I167" s="47" t="e">
        <f t="shared" si="123"/>
        <v>#VALUE!</v>
      </c>
      <c r="J167" s="47" t="e">
        <f t="shared" si="124"/>
        <v>#VALUE!</v>
      </c>
      <c r="K167" s="47" t="e">
        <f t="shared" si="125"/>
        <v>#VALUE!</v>
      </c>
      <c r="L167" s="49" t="e">
        <f t="shared" si="126"/>
        <v>#VALUE!</v>
      </c>
      <c r="M167" s="50" t="e">
        <f t="shared" si="127"/>
        <v>#VALUE!</v>
      </c>
      <c r="N167" s="51" t="e">
        <f t="shared" si="128"/>
        <v>#VALUE!</v>
      </c>
      <c r="O167" s="52" t="e">
        <f t="shared" si="128"/>
        <v>#VALUE!</v>
      </c>
      <c r="P167" s="28"/>
      <c r="R167" s="75"/>
    </row>
    <row r="168" spans="1:18" x14ac:dyDescent="0.45">
      <c r="A168" s="112">
        <f t="shared" si="99"/>
        <v>0</v>
      </c>
      <c r="B168" s="114" t="str">
        <f>IF(mtx_base_3!B56 = "","",mtx_base_3!B56)</f>
        <v/>
      </c>
      <c r="C168" s="114" t="str">
        <f>IF(mtx_base_3!C56 = "","",mtx_base_3!C56)</f>
        <v/>
      </c>
      <c r="D168" s="45" t="e">
        <f t="shared" si="119"/>
        <v>#DIV/0!</v>
      </c>
      <c r="E168" s="46" t="e">
        <f t="shared" si="120"/>
        <v>#DIV/0!</v>
      </c>
      <c r="F168" s="47" t="e">
        <f t="shared" si="121"/>
        <v>#DIV/0!</v>
      </c>
      <c r="G168" s="48" t="e">
        <f t="shared" si="122"/>
        <v>#VALUE!</v>
      </c>
      <c r="H168" s="48" t="e">
        <f t="shared" si="122"/>
        <v>#VALUE!</v>
      </c>
      <c r="I168" s="47" t="e">
        <f t="shared" si="123"/>
        <v>#VALUE!</v>
      </c>
      <c r="J168" s="47" t="e">
        <f t="shared" si="124"/>
        <v>#VALUE!</v>
      </c>
      <c r="K168" s="47" t="e">
        <f t="shared" si="125"/>
        <v>#VALUE!</v>
      </c>
      <c r="L168" s="49" t="e">
        <f t="shared" si="126"/>
        <v>#VALUE!</v>
      </c>
      <c r="M168" s="50" t="e">
        <f t="shared" si="127"/>
        <v>#VALUE!</v>
      </c>
      <c r="N168" s="51" t="e">
        <f t="shared" si="128"/>
        <v>#VALUE!</v>
      </c>
      <c r="O168" s="52" t="e">
        <f t="shared" si="128"/>
        <v>#VALUE!</v>
      </c>
      <c r="P168" s="28"/>
      <c r="R168" s="75"/>
    </row>
    <row r="169" spans="1:18" x14ac:dyDescent="0.45">
      <c r="A169" s="112">
        <f t="shared" si="99"/>
        <v>0</v>
      </c>
      <c r="B169" s="114" t="str">
        <f>IF(mtx_base_3!B57 = "","",mtx_base_3!B57)</f>
        <v/>
      </c>
      <c r="C169" s="114" t="str">
        <f>IF(mtx_base_3!C57 = "","",mtx_base_3!C57)</f>
        <v/>
      </c>
      <c r="D169" s="45" t="e">
        <f t="shared" si="119"/>
        <v>#DIV/0!</v>
      </c>
      <c r="E169" s="46" t="e">
        <f t="shared" si="120"/>
        <v>#DIV/0!</v>
      </c>
      <c r="F169" s="47" t="e">
        <f t="shared" si="121"/>
        <v>#DIV/0!</v>
      </c>
      <c r="G169" s="48" t="e">
        <f t="shared" si="122"/>
        <v>#VALUE!</v>
      </c>
      <c r="H169" s="48" t="e">
        <f t="shared" si="122"/>
        <v>#VALUE!</v>
      </c>
      <c r="I169" s="47" t="e">
        <f t="shared" si="123"/>
        <v>#VALUE!</v>
      </c>
      <c r="J169" s="47" t="e">
        <f t="shared" si="124"/>
        <v>#VALUE!</v>
      </c>
      <c r="K169" s="47" t="e">
        <f t="shared" si="125"/>
        <v>#VALUE!</v>
      </c>
      <c r="L169" s="49" t="e">
        <f t="shared" si="126"/>
        <v>#VALUE!</v>
      </c>
      <c r="M169" s="50" t="e">
        <f t="shared" si="127"/>
        <v>#VALUE!</v>
      </c>
      <c r="N169" s="51" t="e">
        <f t="shared" si="128"/>
        <v>#VALUE!</v>
      </c>
      <c r="O169" s="52" t="e">
        <f t="shared" si="128"/>
        <v>#VALUE!</v>
      </c>
      <c r="P169" s="28"/>
      <c r="R169" s="75"/>
    </row>
    <row r="170" spans="1:18" x14ac:dyDescent="0.45">
      <c r="A170" s="112">
        <f t="shared" si="99"/>
        <v>0</v>
      </c>
      <c r="B170" s="114" t="str">
        <f>IF(mtx_base_3!B58 = "","",mtx_base_3!B58)</f>
        <v/>
      </c>
      <c r="C170" s="114" t="str">
        <f>IF(mtx_base_3!C58 = "","",mtx_base_3!C58)</f>
        <v/>
      </c>
      <c r="D170" s="45" t="e">
        <f t="shared" si="119"/>
        <v>#DIV/0!</v>
      </c>
      <c r="E170" s="46" t="e">
        <f t="shared" si="120"/>
        <v>#DIV/0!</v>
      </c>
      <c r="F170" s="47" t="e">
        <f t="shared" si="121"/>
        <v>#DIV/0!</v>
      </c>
      <c r="G170" s="48" t="e">
        <f t="shared" si="122"/>
        <v>#VALUE!</v>
      </c>
      <c r="H170" s="48" t="e">
        <f t="shared" si="122"/>
        <v>#VALUE!</v>
      </c>
      <c r="I170" s="47" t="e">
        <f t="shared" si="123"/>
        <v>#VALUE!</v>
      </c>
      <c r="J170" s="47" t="e">
        <f t="shared" si="124"/>
        <v>#VALUE!</v>
      </c>
      <c r="K170" s="47" t="e">
        <f t="shared" si="125"/>
        <v>#VALUE!</v>
      </c>
      <c r="L170" s="49" t="e">
        <f t="shared" si="126"/>
        <v>#VALUE!</v>
      </c>
      <c r="M170" s="50" t="e">
        <f t="shared" si="127"/>
        <v>#VALUE!</v>
      </c>
      <c r="N170" s="51" t="e">
        <f t="shared" si="128"/>
        <v>#VALUE!</v>
      </c>
      <c r="O170" s="52" t="e">
        <f t="shared" si="128"/>
        <v>#VALUE!</v>
      </c>
      <c r="P170" s="28"/>
      <c r="R170" s="75"/>
    </row>
    <row r="171" spans="1:18" x14ac:dyDescent="0.45">
      <c r="A171" s="112">
        <f t="shared" si="99"/>
        <v>0</v>
      </c>
      <c r="B171" s="114" t="str">
        <f>IF(mtx_base_3!B59 = "","",mtx_base_3!B59)</f>
        <v/>
      </c>
      <c r="C171" s="114" t="str">
        <f>IF(mtx_base_3!C59 = "","",mtx_base_3!C59)</f>
        <v/>
      </c>
      <c r="D171" s="45" t="e">
        <f t="shared" si="119"/>
        <v>#DIV/0!</v>
      </c>
      <c r="E171" s="46" t="e">
        <f t="shared" si="120"/>
        <v>#DIV/0!</v>
      </c>
      <c r="F171" s="47" t="e">
        <f t="shared" si="121"/>
        <v>#DIV/0!</v>
      </c>
      <c r="G171" s="48" t="e">
        <f t="shared" si="122"/>
        <v>#VALUE!</v>
      </c>
      <c r="H171" s="48" t="e">
        <f t="shared" si="122"/>
        <v>#VALUE!</v>
      </c>
      <c r="I171" s="47" t="e">
        <f t="shared" si="123"/>
        <v>#VALUE!</v>
      </c>
      <c r="J171" s="47" t="e">
        <f t="shared" si="124"/>
        <v>#VALUE!</v>
      </c>
      <c r="K171" s="47" t="e">
        <f t="shared" si="125"/>
        <v>#VALUE!</v>
      </c>
      <c r="L171" s="49" t="e">
        <f t="shared" si="126"/>
        <v>#VALUE!</v>
      </c>
      <c r="M171" s="50" t="e">
        <f t="shared" si="127"/>
        <v>#VALUE!</v>
      </c>
      <c r="N171" s="51" t="e">
        <f t="shared" si="128"/>
        <v>#VALUE!</v>
      </c>
      <c r="O171" s="52" t="e">
        <f t="shared" si="128"/>
        <v>#VALUE!</v>
      </c>
      <c r="P171" s="28"/>
      <c r="R171" s="75"/>
    </row>
    <row r="172" spans="1:18" x14ac:dyDescent="0.45">
      <c r="A172" s="112">
        <f t="shared" si="99"/>
        <v>0</v>
      </c>
      <c r="B172" s="114" t="str">
        <f>IF(mtx_base_3!B60 = "","",mtx_base_3!B60)</f>
        <v/>
      </c>
      <c r="C172" s="114" t="str">
        <f>IF(mtx_base_3!C60 = "","",mtx_base_3!C60)</f>
        <v/>
      </c>
      <c r="D172" s="45" t="e">
        <f t="shared" si="119"/>
        <v>#DIV/0!</v>
      </c>
      <c r="E172" s="46" t="e">
        <f t="shared" si="120"/>
        <v>#DIV/0!</v>
      </c>
      <c r="F172" s="47" t="e">
        <f t="shared" si="121"/>
        <v>#DIV/0!</v>
      </c>
      <c r="G172" s="48" t="e">
        <f t="shared" si="122"/>
        <v>#VALUE!</v>
      </c>
      <c r="H172" s="48" t="e">
        <f t="shared" si="122"/>
        <v>#VALUE!</v>
      </c>
      <c r="I172" s="47" t="e">
        <f t="shared" si="123"/>
        <v>#VALUE!</v>
      </c>
      <c r="J172" s="47" t="e">
        <f t="shared" si="124"/>
        <v>#VALUE!</v>
      </c>
      <c r="K172" s="47" t="e">
        <f t="shared" si="125"/>
        <v>#VALUE!</v>
      </c>
      <c r="L172" s="49" t="e">
        <f t="shared" si="126"/>
        <v>#VALUE!</v>
      </c>
      <c r="M172" s="50" t="e">
        <f t="shared" si="127"/>
        <v>#VALUE!</v>
      </c>
      <c r="N172" s="51" t="e">
        <f t="shared" si="128"/>
        <v>#VALUE!</v>
      </c>
      <c r="O172" s="52" t="e">
        <f t="shared" si="128"/>
        <v>#VALUE!</v>
      </c>
      <c r="P172" s="28"/>
      <c r="R172" s="75"/>
    </row>
    <row r="173" spans="1:18" x14ac:dyDescent="0.45">
      <c r="A173" s="112">
        <f t="shared" si="99"/>
        <v>0</v>
      </c>
      <c r="B173" s="114" t="str">
        <f>IF(mtx_base_3!B61 = "","",mtx_base_3!B61)</f>
        <v/>
      </c>
      <c r="C173" s="114" t="str">
        <f>IF(mtx_base_3!C61 = "","",mtx_base_3!C61)</f>
        <v/>
      </c>
      <c r="D173" s="45" t="e">
        <f t="shared" si="119"/>
        <v>#DIV/0!</v>
      </c>
      <c r="E173" s="46" t="e">
        <f t="shared" si="120"/>
        <v>#DIV/0!</v>
      </c>
      <c r="F173" s="56" t="e">
        <f>IF(AND(B173&lt;D173,C173&lt;E173),"Blue",(IF(AND(B173&lt;D173,C173&gt;E173),"Red",(IF(AND(B173&gt;D173,C173&gt;E173),"Green",(IF(AND(B173&gt;D173,C173&lt;E173),"Yellow")))))))</f>
        <v>#DIV/0!</v>
      </c>
      <c r="G173" s="57" t="e">
        <f t="shared" si="122"/>
        <v>#VALUE!</v>
      </c>
      <c r="H173" s="57" t="e">
        <f t="shared" si="122"/>
        <v>#VALUE!</v>
      </c>
      <c r="I173" s="47" t="e">
        <f t="shared" si="123"/>
        <v>#VALUE!</v>
      </c>
      <c r="J173" s="47" t="e">
        <f t="shared" si="124"/>
        <v>#VALUE!</v>
      </c>
      <c r="K173" s="56" t="e">
        <f t="shared" si="125"/>
        <v>#VALUE!</v>
      </c>
      <c r="L173" s="58" t="e">
        <f t="shared" si="126"/>
        <v>#VALUE!</v>
      </c>
      <c r="M173" s="53" t="e">
        <f t="shared" si="127"/>
        <v>#VALUE!</v>
      </c>
      <c r="N173" s="59" t="e">
        <f t="shared" ref="N173:O180" si="129">M173</f>
        <v>#VALUE!</v>
      </c>
      <c r="O173" s="52" t="e">
        <f t="shared" si="129"/>
        <v>#VALUE!</v>
      </c>
      <c r="P173" s="28"/>
      <c r="R173" s="75"/>
    </row>
    <row r="174" spans="1:18" x14ac:dyDescent="0.45">
      <c r="A174" s="112">
        <f t="shared" si="99"/>
        <v>0</v>
      </c>
      <c r="B174" s="114" t="str">
        <f>IF(mtx_base_3!B62 = "","",mtx_base_3!B62)</f>
        <v/>
      </c>
      <c r="C174" s="114" t="str">
        <f>IF(mtx_base_3!C62 = "","",mtx_base_3!C62)</f>
        <v/>
      </c>
      <c r="D174" s="45" t="e">
        <f t="shared" si="119"/>
        <v>#DIV/0!</v>
      </c>
      <c r="E174" s="46" t="e">
        <f t="shared" si="120"/>
        <v>#DIV/0!</v>
      </c>
      <c r="F174" s="56" t="e">
        <f t="shared" ref="F174:F180" si="130">IF(AND(B174&lt;D174,C174&lt;E174),"Blue",(IF(AND(B174&lt;D174,C174&gt;E174),"Red",(IF(AND(B174&gt;D174,C174&gt;E174),"Green",(IF(AND(B174&gt;D174,C174&lt;E174),"Yellow")))))))</f>
        <v>#DIV/0!</v>
      </c>
      <c r="G174" s="57" t="e">
        <f t="shared" si="122"/>
        <v>#VALUE!</v>
      </c>
      <c r="H174" s="57" t="e">
        <f t="shared" si="122"/>
        <v>#VALUE!</v>
      </c>
      <c r="I174" s="47" t="e">
        <f t="shared" si="123"/>
        <v>#VALUE!</v>
      </c>
      <c r="J174" s="47" t="e">
        <f t="shared" si="124"/>
        <v>#VALUE!</v>
      </c>
      <c r="K174" s="56" t="e">
        <f t="shared" si="125"/>
        <v>#VALUE!</v>
      </c>
      <c r="L174" s="58" t="e">
        <f t="shared" si="126"/>
        <v>#VALUE!</v>
      </c>
      <c r="M174" s="53" t="e">
        <f t="shared" si="127"/>
        <v>#VALUE!</v>
      </c>
      <c r="N174" s="59" t="e">
        <f t="shared" si="129"/>
        <v>#VALUE!</v>
      </c>
      <c r="O174" s="52" t="e">
        <f t="shared" si="129"/>
        <v>#VALUE!</v>
      </c>
      <c r="P174" s="28"/>
      <c r="R174" s="75"/>
    </row>
    <row r="175" spans="1:18" x14ac:dyDescent="0.45">
      <c r="A175" s="112">
        <f t="shared" si="99"/>
        <v>0</v>
      </c>
      <c r="B175" s="114" t="str">
        <f>IF(mtx_base_3!B63 = "","",mtx_base_3!B63)</f>
        <v/>
      </c>
      <c r="C175" s="114" t="str">
        <f>IF(mtx_base_3!C63 = "","",mtx_base_3!C63)</f>
        <v/>
      </c>
      <c r="D175" s="45" t="e">
        <f t="shared" si="119"/>
        <v>#DIV/0!</v>
      </c>
      <c r="E175" s="46" t="e">
        <f t="shared" si="120"/>
        <v>#DIV/0!</v>
      </c>
      <c r="F175" s="56" t="e">
        <f t="shared" si="130"/>
        <v>#DIV/0!</v>
      </c>
      <c r="G175" s="57" t="e">
        <f t="shared" si="122"/>
        <v>#VALUE!</v>
      </c>
      <c r="H175" s="57" t="e">
        <f t="shared" si="122"/>
        <v>#VALUE!</v>
      </c>
      <c r="I175" s="47" t="e">
        <f t="shared" si="123"/>
        <v>#VALUE!</v>
      </c>
      <c r="J175" s="47" t="e">
        <f t="shared" si="124"/>
        <v>#VALUE!</v>
      </c>
      <c r="K175" s="56" t="e">
        <f t="shared" si="125"/>
        <v>#VALUE!</v>
      </c>
      <c r="L175" s="58" t="e">
        <f t="shared" si="126"/>
        <v>#VALUE!</v>
      </c>
      <c r="M175" s="53" t="e">
        <f t="shared" si="127"/>
        <v>#VALUE!</v>
      </c>
      <c r="N175" s="59" t="e">
        <f t="shared" si="129"/>
        <v>#VALUE!</v>
      </c>
      <c r="O175" s="52" t="e">
        <f t="shared" si="129"/>
        <v>#VALUE!</v>
      </c>
      <c r="P175" s="28"/>
      <c r="R175" s="75"/>
    </row>
    <row r="176" spans="1:18" x14ac:dyDescent="0.45">
      <c r="A176" s="112">
        <f t="shared" si="99"/>
        <v>0</v>
      </c>
      <c r="B176" s="114" t="str">
        <f>IF(mtx_base_3!B64 = "","",mtx_base_3!B64)</f>
        <v/>
      </c>
      <c r="C176" s="114" t="str">
        <f>IF(mtx_base_3!C64 = "","",mtx_base_3!C64)</f>
        <v/>
      </c>
      <c r="D176" s="45" t="e">
        <f t="shared" si="119"/>
        <v>#DIV/0!</v>
      </c>
      <c r="E176" s="46" t="e">
        <f t="shared" si="120"/>
        <v>#DIV/0!</v>
      </c>
      <c r="F176" s="56" t="e">
        <f t="shared" si="130"/>
        <v>#DIV/0!</v>
      </c>
      <c r="G176" s="57" t="e">
        <f t="shared" si="122"/>
        <v>#VALUE!</v>
      </c>
      <c r="H176" s="57" t="e">
        <f t="shared" si="122"/>
        <v>#VALUE!</v>
      </c>
      <c r="I176" s="47" t="e">
        <f t="shared" si="123"/>
        <v>#VALUE!</v>
      </c>
      <c r="J176" s="47" t="e">
        <f t="shared" si="124"/>
        <v>#VALUE!</v>
      </c>
      <c r="K176" s="56" t="e">
        <f t="shared" si="125"/>
        <v>#VALUE!</v>
      </c>
      <c r="L176" s="58" t="e">
        <f t="shared" si="126"/>
        <v>#VALUE!</v>
      </c>
      <c r="M176" s="53" t="e">
        <f t="shared" si="127"/>
        <v>#VALUE!</v>
      </c>
      <c r="N176" s="59" t="e">
        <f t="shared" si="129"/>
        <v>#VALUE!</v>
      </c>
      <c r="O176" s="52" t="e">
        <f t="shared" si="129"/>
        <v>#VALUE!</v>
      </c>
      <c r="P176" s="28"/>
      <c r="R176" s="75"/>
    </row>
    <row r="177" spans="1:18" x14ac:dyDescent="0.45">
      <c r="A177" s="112">
        <f t="shared" si="99"/>
        <v>0</v>
      </c>
      <c r="B177" s="114" t="str">
        <f>IF(mtx_base_3!B65 = "","",mtx_base_3!B65)</f>
        <v/>
      </c>
      <c r="C177" s="114" t="str">
        <f>IF(mtx_base_3!C65 = "","",mtx_base_3!C65)</f>
        <v/>
      </c>
      <c r="D177" s="45" t="e">
        <f t="shared" si="119"/>
        <v>#DIV/0!</v>
      </c>
      <c r="E177" s="46" t="e">
        <f t="shared" si="120"/>
        <v>#DIV/0!</v>
      </c>
      <c r="F177" s="56" t="e">
        <f t="shared" si="130"/>
        <v>#DIV/0!</v>
      </c>
      <c r="G177" s="57" t="e">
        <f t="shared" ref="G177:H180" si="131">B177-D177</f>
        <v>#VALUE!</v>
      </c>
      <c r="H177" s="57" t="e">
        <f t="shared" si="131"/>
        <v>#VALUE!</v>
      </c>
      <c r="I177" s="47" t="e">
        <f t="shared" si="123"/>
        <v>#VALUE!</v>
      </c>
      <c r="J177" s="47" t="e">
        <f t="shared" si="124"/>
        <v>#VALUE!</v>
      </c>
      <c r="K177" s="56" t="e">
        <f t="shared" si="125"/>
        <v>#VALUE!</v>
      </c>
      <c r="L177" s="58" t="e">
        <f t="shared" si="126"/>
        <v>#VALUE!</v>
      </c>
      <c r="M177" s="53" t="e">
        <f t="shared" si="127"/>
        <v>#VALUE!</v>
      </c>
      <c r="N177" s="59" t="e">
        <f t="shared" si="129"/>
        <v>#VALUE!</v>
      </c>
      <c r="O177" s="52" t="e">
        <f t="shared" si="129"/>
        <v>#VALUE!</v>
      </c>
      <c r="P177" s="28"/>
      <c r="R177" s="75"/>
    </row>
    <row r="178" spans="1:18" x14ac:dyDescent="0.45">
      <c r="A178" s="112">
        <f t="shared" si="99"/>
        <v>0</v>
      </c>
      <c r="B178" s="114" t="str">
        <f>IF(mtx_base_3!B66 = "","",mtx_base_3!B66)</f>
        <v/>
      </c>
      <c r="C178" s="114" t="str">
        <f>IF(mtx_base_3!C66 = "","",mtx_base_3!C66)</f>
        <v/>
      </c>
      <c r="D178" s="45" t="e">
        <f t="shared" si="119"/>
        <v>#DIV/0!</v>
      </c>
      <c r="E178" s="46" t="e">
        <f t="shared" si="120"/>
        <v>#DIV/0!</v>
      </c>
      <c r="F178" s="56" t="e">
        <f t="shared" si="130"/>
        <v>#DIV/0!</v>
      </c>
      <c r="G178" s="57" t="e">
        <f t="shared" si="131"/>
        <v>#VALUE!</v>
      </c>
      <c r="H178" s="57" t="e">
        <f t="shared" si="131"/>
        <v>#VALUE!</v>
      </c>
      <c r="I178" s="47" t="e">
        <f t="shared" si="123"/>
        <v>#VALUE!</v>
      </c>
      <c r="J178" s="47" t="e">
        <f t="shared" si="124"/>
        <v>#VALUE!</v>
      </c>
      <c r="K178" s="56" t="e">
        <f t="shared" si="125"/>
        <v>#VALUE!</v>
      </c>
      <c r="L178" s="58" t="e">
        <f t="shared" si="126"/>
        <v>#VALUE!</v>
      </c>
      <c r="M178" s="53" t="e">
        <f t="shared" si="127"/>
        <v>#VALUE!</v>
      </c>
      <c r="N178" s="59" t="e">
        <f t="shared" si="129"/>
        <v>#VALUE!</v>
      </c>
      <c r="O178" s="52" t="e">
        <f t="shared" si="129"/>
        <v>#VALUE!</v>
      </c>
      <c r="P178" s="28"/>
      <c r="R178" s="75"/>
    </row>
    <row r="179" spans="1:18" x14ac:dyDescent="0.45">
      <c r="A179" s="112">
        <f t="shared" si="99"/>
        <v>0</v>
      </c>
      <c r="B179" s="114" t="str">
        <f>IF(mtx_base_3!B67 = "","",mtx_base_3!B67)</f>
        <v/>
      </c>
      <c r="C179" s="114" t="str">
        <f>IF(mtx_base_3!C67 = "","",mtx_base_3!C67)</f>
        <v/>
      </c>
      <c r="D179" s="45" t="e">
        <f t="shared" si="119"/>
        <v>#DIV/0!</v>
      </c>
      <c r="E179" s="46" t="e">
        <f t="shared" si="120"/>
        <v>#DIV/0!</v>
      </c>
      <c r="F179" s="56" t="e">
        <f t="shared" si="130"/>
        <v>#DIV/0!</v>
      </c>
      <c r="G179" s="57" t="e">
        <f t="shared" si="131"/>
        <v>#VALUE!</v>
      </c>
      <c r="H179" s="57" t="e">
        <f t="shared" si="131"/>
        <v>#VALUE!</v>
      </c>
      <c r="I179" s="47" t="e">
        <f t="shared" si="123"/>
        <v>#VALUE!</v>
      </c>
      <c r="J179" s="47" t="e">
        <f t="shared" si="124"/>
        <v>#VALUE!</v>
      </c>
      <c r="K179" s="56" t="e">
        <f t="shared" si="125"/>
        <v>#VALUE!</v>
      </c>
      <c r="L179" s="58" t="e">
        <f t="shared" si="126"/>
        <v>#VALUE!</v>
      </c>
      <c r="M179" s="53" t="e">
        <f t="shared" si="127"/>
        <v>#VALUE!</v>
      </c>
      <c r="N179" s="59" t="e">
        <f t="shared" si="129"/>
        <v>#VALUE!</v>
      </c>
      <c r="O179" s="52" t="e">
        <f t="shared" si="129"/>
        <v>#VALUE!</v>
      </c>
      <c r="P179" s="28"/>
      <c r="R179" s="75"/>
    </row>
    <row r="180" spans="1:18" x14ac:dyDescent="0.45">
      <c r="A180" s="112">
        <f t="shared" si="99"/>
        <v>0</v>
      </c>
      <c r="B180" s="114" t="str">
        <f>IF(mtx_base_3!B68 = "","",mtx_base_3!B68)</f>
        <v/>
      </c>
      <c r="C180" s="114" t="str">
        <f>IF(mtx_base_3!C68 = "","",mtx_base_3!C68)</f>
        <v/>
      </c>
      <c r="D180" s="45" t="e">
        <f t="shared" si="119"/>
        <v>#DIV/0!</v>
      </c>
      <c r="E180" s="46" t="e">
        <f t="shared" si="120"/>
        <v>#DIV/0!</v>
      </c>
      <c r="F180" s="56" t="e">
        <f t="shared" si="130"/>
        <v>#DIV/0!</v>
      </c>
      <c r="G180" s="57" t="e">
        <f t="shared" si="131"/>
        <v>#VALUE!</v>
      </c>
      <c r="H180" s="57" t="e">
        <f t="shared" si="131"/>
        <v>#VALUE!</v>
      </c>
      <c r="I180" s="47" t="e">
        <f t="shared" si="123"/>
        <v>#VALUE!</v>
      </c>
      <c r="J180" s="47" t="e">
        <f t="shared" si="124"/>
        <v>#VALUE!</v>
      </c>
      <c r="K180" s="56" t="e">
        <f t="shared" si="125"/>
        <v>#VALUE!</v>
      </c>
      <c r="L180" s="58" t="e">
        <f t="shared" si="126"/>
        <v>#VALUE!</v>
      </c>
      <c r="M180" s="53" t="e">
        <f t="shared" si="127"/>
        <v>#VALUE!</v>
      </c>
      <c r="N180" s="59" t="e">
        <f t="shared" si="129"/>
        <v>#VALUE!</v>
      </c>
      <c r="O180" s="52" t="e">
        <f t="shared" si="129"/>
        <v>#VALUE!</v>
      </c>
      <c r="P180" s="28"/>
      <c r="R180" s="75"/>
    </row>
    <row r="181" spans="1:18" ht="16.5" thickBot="1" x14ac:dyDescent="0.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</row>
    <row r="182" spans="1:18" ht="16.5" thickBot="1" x14ac:dyDescent="0.5">
      <c r="A182" s="60" t="s">
        <v>46</v>
      </c>
      <c r="B182" s="76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</row>
    <row r="183" spans="1:18" ht="25.5" thickBot="1" x14ac:dyDescent="0.75">
      <c r="A183" s="27" t="s">
        <v>49</v>
      </c>
      <c r="B183" s="137"/>
      <c r="C183" s="137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</row>
    <row r="184" spans="1:18" ht="16.5" thickBot="1" x14ac:dyDescent="0.5">
      <c r="A184" s="30"/>
      <c r="B184" s="137"/>
      <c r="C184" s="137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</row>
    <row r="185" spans="1:18" ht="16.5" thickBot="1" x14ac:dyDescent="0.5">
      <c r="A185" s="31" t="s">
        <v>30</v>
      </c>
      <c r="B185" s="137"/>
      <c r="C185" s="137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</row>
    <row r="186" spans="1:18" x14ac:dyDescent="0.45">
      <c r="A186" s="32" t="s">
        <v>31</v>
      </c>
      <c r="B186" s="33" t="e">
        <f>AVERAGE(B191:B240)</f>
        <v>#DIV/0!</v>
      </c>
      <c r="C186" s="34" t="e">
        <f>AVERAGE(C191:C240)</f>
        <v>#DIV/0!</v>
      </c>
      <c r="D186" s="35" t="s">
        <v>32</v>
      </c>
      <c r="E186" s="61" t="e">
        <f>B188-B187</f>
        <v>#DIV/0!</v>
      </c>
      <c r="F186" s="62" t="e">
        <f>C188-C187</f>
        <v>#DIV/0!</v>
      </c>
      <c r="G186" s="38"/>
      <c r="H186" s="39"/>
      <c r="I186" s="38"/>
      <c r="J186" s="38"/>
      <c r="K186" s="28"/>
      <c r="L186" s="28"/>
      <c r="M186" s="28"/>
      <c r="N186" s="28"/>
      <c r="O186" s="28"/>
      <c r="P186" s="28"/>
    </row>
    <row r="187" spans="1:18" ht="16.5" thickBot="1" x14ac:dyDescent="0.5">
      <c r="A187" s="63" t="s">
        <v>33</v>
      </c>
      <c r="B187" s="64" t="e">
        <f>B186-1.1*(MAX(MAX(B191:B240)-B186,B186-MIN(B191:B240)))</f>
        <v>#DIV/0!</v>
      </c>
      <c r="C187" s="133" t="e">
        <f>C186-1.1*(MAX(MAX(C191:C240)-C186,C186-MIN(C191:C240)))</f>
        <v>#DIV/0!</v>
      </c>
      <c r="D187" s="65" t="s">
        <v>34</v>
      </c>
      <c r="E187" s="66" t="e">
        <f>+E186/75</f>
        <v>#DIV/0!</v>
      </c>
      <c r="F187" s="67" t="e">
        <f>+F186/75</f>
        <v>#DIV/0!</v>
      </c>
      <c r="G187" s="38"/>
      <c r="H187" s="38"/>
      <c r="I187" s="38"/>
      <c r="J187" s="38"/>
      <c r="K187" s="28"/>
      <c r="L187" s="28"/>
      <c r="M187" s="28"/>
      <c r="N187" s="28"/>
      <c r="O187" s="28"/>
      <c r="P187" s="28"/>
    </row>
    <row r="188" spans="1:18" ht="16.5" thickBot="1" x14ac:dyDescent="0.5">
      <c r="A188" s="68" t="s">
        <v>35</v>
      </c>
      <c r="B188" s="69" t="e">
        <f>B186+1.1*(MAX(MAX(B191:B240)-B186,B186-MIN(B191:B240)))</f>
        <v>#DIV/0!</v>
      </c>
      <c r="C188" s="70" t="e">
        <f>C186+1.1*(MAX(MAX(C191:C240)-C186,C186-MIN(C191:C240)))</f>
        <v>#DIV/0!</v>
      </c>
      <c r="D188" s="40"/>
      <c r="E188" s="41"/>
      <c r="F188" s="41"/>
      <c r="G188" s="42"/>
      <c r="H188" s="42"/>
      <c r="I188" s="42"/>
      <c r="J188" s="42"/>
      <c r="K188" s="43"/>
      <c r="L188" s="43"/>
      <c r="M188" s="28"/>
      <c r="N188" s="28"/>
      <c r="O188" s="28"/>
      <c r="P188" s="28"/>
    </row>
    <row r="189" spans="1:18" x14ac:dyDescent="0.45">
      <c r="A189" s="28"/>
      <c r="B189" s="38"/>
      <c r="C189" s="44"/>
      <c r="D189" s="138" t="s">
        <v>36</v>
      </c>
      <c r="E189" s="139"/>
      <c r="F189" s="139"/>
      <c r="G189" s="139"/>
      <c r="H189" s="139"/>
      <c r="I189" s="139"/>
      <c r="J189" s="139"/>
      <c r="K189" s="139"/>
      <c r="L189" s="139"/>
      <c r="M189" s="140" t="s">
        <v>37</v>
      </c>
      <c r="N189" s="140"/>
      <c r="O189" s="144" t="s">
        <v>38</v>
      </c>
      <c r="P189" s="28"/>
    </row>
    <row r="190" spans="1:18" ht="16.5" thickBot="1" x14ac:dyDescent="0.5">
      <c r="A190" s="71" t="s">
        <v>39</v>
      </c>
      <c r="B190" s="72" t="s">
        <v>40</v>
      </c>
      <c r="C190" s="73" t="s">
        <v>41</v>
      </c>
      <c r="D190" s="149" t="s">
        <v>42</v>
      </c>
      <c r="E190" s="150"/>
      <c r="F190" s="74" t="s">
        <v>43</v>
      </c>
      <c r="G190" s="150" t="s">
        <v>44</v>
      </c>
      <c r="H190" s="150"/>
      <c r="I190" s="150"/>
      <c r="J190" s="150"/>
      <c r="K190" s="150" t="s">
        <v>45</v>
      </c>
      <c r="L190" s="150"/>
      <c r="M190" s="152"/>
      <c r="N190" s="152"/>
      <c r="O190" s="148"/>
      <c r="P190" s="28"/>
    </row>
    <row r="191" spans="1:18" x14ac:dyDescent="0.45">
      <c r="A191" s="112">
        <f>A9</f>
        <v>0</v>
      </c>
      <c r="B191" s="114" t="str">
        <f>IF(mtx_base_4!B19 = "","",mtx_base_4!B19)</f>
        <v/>
      </c>
      <c r="C191" s="114" t="str">
        <f>IF(mtx_base_4!C19 = "","",mtx_base_4!C19)</f>
        <v/>
      </c>
      <c r="D191" s="45" t="e">
        <f t="shared" ref="D191:D215" si="132">$B$186</f>
        <v>#DIV/0!</v>
      </c>
      <c r="E191" s="77" t="e">
        <f t="shared" ref="E191:E215" si="133">$C$186</f>
        <v>#DIV/0!</v>
      </c>
      <c r="F191" s="47" t="e">
        <f t="shared" ref="F191" si="134">IF(AND(B191&lt;D191,C191&lt;E191),"Blue",(IF(AND(B191&lt;D191,C191&gt;E191),"Red",(IF(AND(B191&gt;D191,C191&gt;E191),"Green",(IF(AND(B191&gt;D191,C191&lt;E191),"Yellow")))))))</f>
        <v>#DIV/0!</v>
      </c>
      <c r="G191" s="48" t="e">
        <f t="shared" ref="G191" si="135">B191-D191</f>
        <v>#VALUE!</v>
      </c>
      <c r="H191" s="48" t="e">
        <f t="shared" ref="H191" si="136">C191-E191</f>
        <v>#VALUE!</v>
      </c>
      <c r="I191" s="47" t="e">
        <f t="shared" ref="I191" si="137">IF((ABS(G191)&lt;$E$187),"TIE",F191)</f>
        <v>#VALUE!</v>
      </c>
      <c r="J191" s="47" t="e">
        <f t="shared" ref="J191" si="138">IF((ABS(H191)&lt;$F$187),"TIE",F191)</f>
        <v>#VALUE!</v>
      </c>
      <c r="K191" s="47" t="e">
        <f t="shared" ref="K191" si="139">IF(AND(I191&lt;&gt;"TIE",J191&lt;&gt;"TIE"),F191,"TIE")</f>
        <v>#VALUE!</v>
      </c>
      <c r="L191" s="49" t="e">
        <f t="shared" ref="L191" si="140">IF(AND(I191="TIE",C191&gt;E191),"Red/Green",(IF(AND(I191="TIE",C191&lt;E191),"Blue/Yellow",(IF(AND(B191&lt;D191,J191="TIE"),"Red/Blue",(IF(AND(B191&gt;D191,J191="TIE"),"Green/Yellow")))))))</f>
        <v>#VALUE!</v>
      </c>
      <c r="M191" s="50" t="e">
        <f t="shared" ref="M191" si="141">IF(AND(I191="TIE",J191="TIE"),"Four Way Tie",IF(L191=FALSE,K191,L191))</f>
        <v>#VALUE!</v>
      </c>
      <c r="N191" s="51" t="e">
        <f t="shared" ref="N191" si="142">M191</f>
        <v>#VALUE!</v>
      </c>
      <c r="O191" s="52" t="e">
        <f t="shared" ref="O191" si="143">N191</f>
        <v>#VALUE!</v>
      </c>
      <c r="P191" s="28"/>
    </row>
    <row r="192" spans="1:18" x14ac:dyDescent="0.45">
      <c r="A192" s="112">
        <f t="shared" ref="A192:A240" si="144">A10</f>
        <v>0</v>
      </c>
      <c r="B192" s="114" t="str">
        <f>IF(mtx_base_4!B20 = "","",mtx_base_4!B20)</f>
        <v/>
      </c>
      <c r="C192" s="114" t="str">
        <f>IF(mtx_base_4!C20 = "","",mtx_base_4!C20)</f>
        <v/>
      </c>
      <c r="D192" s="45" t="e">
        <f t="shared" si="132"/>
        <v>#DIV/0!</v>
      </c>
      <c r="E192" s="77" t="e">
        <f t="shared" si="133"/>
        <v>#DIV/0!</v>
      </c>
      <c r="F192" s="47" t="e">
        <f t="shared" ref="F192:F215" si="145">IF(AND(B192&lt;D192,C192&lt;E192),"Blue",(IF(AND(B192&lt;D192,C192&gt;E192),"Red",(IF(AND(B192&gt;D192,C192&gt;E192),"Green",(IF(AND(B192&gt;D192,C192&lt;E192),"Yellow")))))))</f>
        <v>#DIV/0!</v>
      </c>
      <c r="G192" s="48" t="e">
        <f t="shared" ref="G192:G215" si="146">B192-D192</f>
        <v>#VALUE!</v>
      </c>
      <c r="H192" s="48" t="e">
        <f t="shared" ref="H192:H215" si="147">C192-E192</f>
        <v>#VALUE!</v>
      </c>
      <c r="I192" s="47" t="e">
        <f t="shared" ref="I192:I215" si="148">IF((ABS(G192)&lt;$E$187),"TIE",F192)</f>
        <v>#VALUE!</v>
      </c>
      <c r="J192" s="47" t="e">
        <f t="shared" ref="J192:J215" si="149">IF((ABS(H192)&lt;$F$187),"TIE",F192)</f>
        <v>#VALUE!</v>
      </c>
      <c r="K192" s="47" t="e">
        <f t="shared" ref="K192:K215" si="150">IF(AND(I192&lt;&gt;"TIE",J192&lt;&gt;"TIE"),F192,"TIE")</f>
        <v>#VALUE!</v>
      </c>
      <c r="L192" s="49" t="e">
        <f t="shared" ref="L192:L215" si="151">IF(AND(I192="TIE",C192&gt;E192),"Red/Green",(IF(AND(I192="TIE",C192&lt;E192),"Blue/Yellow",(IF(AND(B192&lt;D192,J192="TIE"),"Red/Blue",(IF(AND(B192&gt;D192,J192="TIE"),"Green/Yellow")))))))</f>
        <v>#VALUE!</v>
      </c>
      <c r="M192" s="50" t="e">
        <f t="shared" ref="M192:M215" si="152">IF(AND(I192="TIE",J192="TIE"),"Four Way Tie",IF(L192=FALSE,K192,L192))</f>
        <v>#VALUE!</v>
      </c>
      <c r="N192" s="51" t="e">
        <f t="shared" ref="N192:N215" si="153">M192</f>
        <v>#VALUE!</v>
      </c>
      <c r="O192" s="52" t="e">
        <f t="shared" ref="O192:O215" si="154">N192</f>
        <v>#VALUE!</v>
      </c>
      <c r="P192" s="28"/>
    </row>
    <row r="193" spans="1:16" x14ac:dyDescent="0.45">
      <c r="A193" s="112">
        <f t="shared" si="144"/>
        <v>0</v>
      </c>
      <c r="B193" s="114" t="str">
        <f>IF(mtx_base_4!B21 = "","",mtx_base_4!B21)</f>
        <v/>
      </c>
      <c r="C193" s="114" t="str">
        <f>IF(mtx_base_4!C21 = "","",mtx_base_4!C21)</f>
        <v/>
      </c>
      <c r="D193" s="45" t="e">
        <f t="shared" si="132"/>
        <v>#DIV/0!</v>
      </c>
      <c r="E193" s="77" t="e">
        <f t="shared" si="133"/>
        <v>#DIV/0!</v>
      </c>
      <c r="F193" s="47" t="e">
        <f t="shared" si="145"/>
        <v>#DIV/0!</v>
      </c>
      <c r="G193" s="48" t="e">
        <f t="shared" si="146"/>
        <v>#VALUE!</v>
      </c>
      <c r="H193" s="48" t="e">
        <f t="shared" si="147"/>
        <v>#VALUE!</v>
      </c>
      <c r="I193" s="47" t="e">
        <f t="shared" si="148"/>
        <v>#VALUE!</v>
      </c>
      <c r="J193" s="47" t="e">
        <f t="shared" si="149"/>
        <v>#VALUE!</v>
      </c>
      <c r="K193" s="47" t="e">
        <f t="shared" si="150"/>
        <v>#VALUE!</v>
      </c>
      <c r="L193" s="49" t="e">
        <f t="shared" si="151"/>
        <v>#VALUE!</v>
      </c>
      <c r="M193" s="50" t="e">
        <f t="shared" si="152"/>
        <v>#VALUE!</v>
      </c>
      <c r="N193" s="51" t="e">
        <f t="shared" si="153"/>
        <v>#VALUE!</v>
      </c>
      <c r="O193" s="52" t="e">
        <f t="shared" si="154"/>
        <v>#VALUE!</v>
      </c>
      <c r="P193" s="28"/>
    </row>
    <row r="194" spans="1:16" x14ac:dyDescent="0.45">
      <c r="A194" s="112">
        <f t="shared" si="144"/>
        <v>0</v>
      </c>
      <c r="B194" s="114" t="str">
        <f>IF(mtx_base_4!B22 = "","",mtx_base_4!B22)</f>
        <v/>
      </c>
      <c r="C194" s="114" t="str">
        <f>IF(mtx_base_4!C22 = "","",mtx_base_4!C22)</f>
        <v/>
      </c>
      <c r="D194" s="45" t="e">
        <f t="shared" si="132"/>
        <v>#DIV/0!</v>
      </c>
      <c r="E194" s="77" t="e">
        <f t="shared" si="133"/>
        <v>#DIV/0!</v>
      </c>
      <c r="F194" s="47" t="e">
        <f t="shared" si="145"/>
        <v>#DIV/0!</v>
      </c>
      <c r="G194" s="48" t="e">
        <f t="shared" si="146"/>
        <v>#VALUE!</v>
      </c>
      <c r="H194" s="48" t="e">
        <f t="shared" si="147"/>
        <v>#VALUE!</v>
      </c>
      <c r="I194" s="47" t="e">
        <f t="shared" si="148"/>
        <v>#VALUE!</v>
      </c>
      <c r="J194" s="47" t="e">
        <f t="shared" si="149"/>
        <v>#VALUE!</v>
      </c>
      <c r="K194" s="47" t="e">
        <f t="shared" si="150"/>
        <v>#VALUE!</v>
      </c>
      <c r="L194" s="49" t="e">
        <f t="shared" si="151"/>
        <v>#VALUE!</v>
      </c>
      <c r="M194" s="50" t="e">
        <f t="shared" si="152"/>
        <v>#VALUE!</v>
      </c>
      <c r="N194" s="51" t="e">
        <f t="shared" si="153"/>
        <v>#VALUE!</v>
      </c>
      <c r="O194" s="52" t="e">
        <f t="shared" si="154"/>
        <v>#VALUE!</v>
      </c>
      <c r="P194" s="28"/>
    </row>
    <row r="195" spans="1:16" x14ac:dyDescent="0.45">
      <c r="A195" s="112">
        <f t="shared" si="144"/>
        <v>0</v>
      </c>
      <c r="B195" s="114" t="str">
        <f>IF(mtx_base_4!B23 = "","",mtx_base_4!B23)</f>
        <v/>
      </c>
      <c r="C195" s="114" t="str">
        <f>IF(mtx_base_4!C23 = "","",mtx_base_4!C23)</f>
        <v/>
      </c>
      <c r="D195" s="45" t="e">
        <f t="shared" si="132"/>
        <v>#DIV/0!</v>
      </c>
      <c r="E195" s="77" t="e">
        <f t="shared" si="133"/>
        <v>#DIV/0!</v>
      </c>
      <c r="F195" s="47" t="e">
        <f t="shared" si="145"/>
        <v>#DIV/0!</v>
      </c>
      <c r="G195" s="48" t="e">
        <f t="shared" si="146"/>
        <v>#VALUE!</v>
      </c>
      <c r="H195" s="48" t="e">
        <f t="shared" si="147"/>
        <v>#VALUE!</v>
      </c>
      <c r="I195" s="47" t="e">
        <f t="shared" si="148"/>
        <v>#VALUE!</v>
      </c>
      <c r="J195" s="47" t="e">
        <f t="shared" si="149"/>
        <v>#VALUE!</v>
      </c>
      <c r="K195" s="47" t="e">
        <f t="shared" si="150"/>
        <v>#VALUE!</v>
      </c>
      <c r="L195" s="49" t="e">
        <f t="shared" si="151"/>
        <v>#VALUE!</v>
      </c>
      <c r="M195" s="50" t="e">
        <f t="shared" si="152"/>
        <v>#VALUE!</v>
      </c>
      <c r="N195" s="51" t="e">
        <f t="shared" si="153"/>
        <v>#VALUE!</v>
      </c>
      <c r="O195" s="52" t="e">
        <f t="shared" si="154"/>
        <v>#VALUE!</v>
      </c>
      <c r="P195" s="28"/>
    </row>
    <row r="196" spans="1:16" x14ac:dyDescent="0.45">
      <c r="A196" s="112">
        <f t="shared" si="144"/>
        <v>0</v>
      </c>
      <c r="B196" s="114" t="str">
        <f>IF(mtx_base_4!B24 = "","",mtx_base_4!B24)</f>
        <v/>
      </c>
      <c r="C196" s="114" t="str">
        <f>IF(mtx_base_4!C24 = "","",mtx_base_4!C24)</f>
        <v/>
      </c>
      <c r="D196" s="45" t="e">
        <f t="shared" si="132"/>
        <v>#DIV/0!</v>
      </c>
      <c r="E196" s="77" t="e">
        <f t="shared" si="133"/>
        <v>#DIV/0!</v>
      </c>
      <c r="F196" s="47" t="e">
        <f t="shared" si="145"/>
        <v>#DIV/0!</v>
      </c>
      <c r="G196" s="48" t="e">
        <f t="shared" si="146"/>
        <v>#VALUE!</v>
      </c>
      <c r="H196" s="48" t="e">
        <f t="shared" si="147"/>
        <v>#VALUE!</v>
      </c>
      <c r="I196" s="47" t="e">
        <f t="shared" si="148"/>
        <v>#VALUE!</v>
      </c>
      <c r="J196" s="47" t="e">
        <f t="shared" si="149"/>
        <v>#VALUE!</v>
      </c>
      <c r="K196" s="47" t="e">
        <f t="shared" si="150"/>
        <v>#VALUE!</v>
      </c>
      <c r="L196" s="49" t="e">
        <f t="shared" si="151"/>
        <v>#VALUE!</v>
      </c>
      <c r="M196" s="50" t="e">
        <f t="shared" si="152"/>
        <v>#VALUE!</v>
      </c>
      <c r="N196" s="51" t="e">
        <f t="shared" si="153"/>
        <v>#VALUE!</v>
      </c>
      <c r="O196" s="52" t="e">
        <f t="shared" si="154"/>
        <v>#VALUE!</v>
      </c>
      <c r="P196" s="28"/>
    </row>
    <row r="197" spans="1:16" x14ac:dyDescent="0.45">
      <c r="A197" s="112">
        <f t="shared" si="144"/>
        <v>0</v>
      </c>
      <c r="B197" s="114" t="str">
        <f>IF(mtx_base_4!B25 = "","",mtx_base_4!B25)</f>
        <v/>
      </c>
      <c r="C197" s="114" t="str">
        <f>IF(mtx_base_4!C25 = "","",mtx_base_4!C25)</f>
        <v/>
      </c>
      <c r="D197" s="45" t="e">
        <f t="shared" si="132"/>
        <v>#DIV/0!</v>
      </c>
      <c r="E197" s="77" t="e">
        <f t="shared" si="133"/>
        <v>#DIV/0!</v>
      </c>
      <c r="F197" s="47" t="e">
        <f t="shared" si="145"/>
        <v>#DIV/0!</v>
      </c>
      <c r="G197" s="48" t="e">
        <f t="shared" si="146"/>
        <v>#VALUE!</v>
      </c>
      <c r="H197" s="48" t="e">
        <f t="shared" si="147"/>
        <v>#VALUE!</v>
      </c>
      <c r="I197" s="47" t="e">
        <f t="shared" si="148"/>
        <v>#VALUE!</v>
      </c>
      <c r="J197" s="47" t="e">
        <f t="shared" si="149"/>
        <v>#VALUE!</v>
      </c>
      <c r="K197" s="47" t="e">
        <f t="shared" si="150"/>
        <v>#VALUE!</v>
      </c>
      <c r="L197" s="49" t="e">
        <f t="shared" si="151"/>
        <v>#VALUE!</v>
      </c>
      <c r="M197" s="50" t="e">
        <f t="shared" si="152"/>
        <v>#VALUE!</v>
      </c>
      <c r="N197" s="51" t="e">
        <f t="shared" si="153"/>
        <v>#VALUE!</v>
      </c>
      <c r="O197" s="52" t="e">
        <f t="shared" si="154"/>
        <v>#VALUE!</v>
      </c>
      <c r="P197" s="28"/>
    </row>
    <row r="198" spans="1:16" x14ac:dyDescent="0.45">
      <c r="A198" s="112">
        <f t="shared" si="144"/>
        <v>0</v>
      </c>
      <c r="B198" s="114" t="str">
        <f>IF(mtx_base_4!B26 = "","",mtx_base_4!B26)</f>
        <v/>
      </c>
      <c r="C198" s="114" t="str">
        <f>IF(mtx_base_4!C26 = "","",mtx_base_4!C26)</f>
        <v/>
      </c>
      <c r="D198" s="45" t="e">
        <f t="shared" si="132"/>
        <v>#DIV/0!</v>
      </c>
      <c r="E198" s="77" t="e">
        <f t="shared" si="133"/>
        <v>#DIV/0!</v>
      </c>
      <c r="F198" s="47" t="e">
        <f t="shared" si="145"/>
        <v>#DIV/0!</v>
      </c>
      <c r="G198" s="48" t="e">
        <f t="shared" si="146"/>
        <v>#VALUE!</v>
      </c>
      <c r="H198" s="48" t="e">
        <f t="shared" si="147"/>
        <v>#VALUE!</v>
      </c>
      <c r="I198" s="47" t="e">
        <f t="shared" si="148"/>
        <v>#VALUE!</v>
      </c>
      <c r="J198" s="47" t="e">
        <f t="shared" si="149"/>
        <v>#VALUE!</v>
      </c>
      <c r="K198" s="47" t="e">
        <f t="shared" si="150"/>
        <v>#VALUE!</v>
      </c>
      <c r="L198" s="49" t="e">
        <f t="shared" si="151"/>
        <v>#VALUE!</v>
      </c>
      <c r="M198" s="50" t="e">
        <f t="shared" si="152"/>
        <v>#VALUE!</v>
      </c>
      <c r="N198" s="51" t="e">
        <f t="shared" si="153"/>
        <v>#VALUE!</v>
      </c>
      <c r="O198" s="52" t="e">
        <f t="shared" si="154"/>
        <v>#VALUE!</v>
      </c>
      <c r="P198" s="28"/>
    </row>
    <row r="199" spans="1:16" x14ac:dyDescent="0.45">
      <c r="A199" s="112">
        <f t="shared" si="144"/>
        <v>0</v>
      </c>
      <c r="B199" s="114" t="str">
        <f>IF(mtx_base_4!B27 = "","",mtx_base_4!B27)</f>
        <v/>
      </c>
      <c r="C199" s="114" t="str">
        <f>IF(mtx_base_4!C27 = "","",mtx_base_4!C27)</f>
        <v/>
      </c>
      <c r="D199" s="45" t="e">
        <f t="shared" si="132"/>
        <v>#DIV/0!</v>
      </c>
      <c r="E199" s="77" t="e">
        <f t="shared" si="133"/>
        <v>#DIV/0!</v>
      </c>
      <c r="F199" s="47" t="e">
        <f t="shared" si="145"/>
        <v>#DIV/0!</v>
      </c>
      <c r="G199" s="48" t="e">
        <f t="shared" si="146"/>
        <v>#VALUE!</v>
      </c>
      <c r="H199" s="48" t="e">
        <f t="shared" si="147"/>
        <v>#VALUE!</v>
      </c>
      <c r="I199" s="47" t="e">
        <f t="shared" si="148"/>
        <v>#VALUE!</v>
      </c>
      <c r="J199" s="47" t="e">
        <f t="shared" si="149"/>
        <v>#VALUE!</v>
      </c>
      <c r="K199" s="47" t="e">
        <f t="shared" si="150"/>
        <v>#VALUE!</v>
      </c>
      <c r="L199" s="49" t="e">
        <f t="shared" si="151"/>
        <v>#VALUE!</v>
      </c>
      <c r="M199" s="50" t="e">
        <f t="shared" si="152"/>
        <v>#VALUE!</v>
      </c>
      <c r="N199" s="51" t="e">
        <f t="shared" si="153"/>
        <v>#VALUE!</v>
      </c>
      <c r="O199" s="52" t="e">
        <f t="shared" si="154"/>
        <v>#VALUE!</v>
      </c>
      <c r="P199" s="28"/>
    </row>
    <row r="200" spans="1:16" x14ac:dyDescent="0.45">
      <c r="A200" s="112">
        <f t="shared" si="144"/>
        <v>0</v>
      </c>
      <c r="B200" s="114" t="str">
        <f>IF(mtx_base_4!B28 = "","",mtx_base_4!B28)</f>
        <v/>
      </c>
      <c r="C200" s="114" t="str">
        <f>IF(mtx_base_4!C28 = "","",mtx_base_4!C28)</f>
        <v/>
      </c>
      <c r="D200" s="45" t="e">
        <f t="shared" si="132"/>
        <v>#DIV/0!</v>
      </c>
      <c r="E200" s="77" t="e">
        <f t="shared" si="133"/>
        <v>#DIV/0!</v>
      </c>
      <c r="F200" s="47" t="e">
        <f t="shared" si="145"/>
        <v>#DIV/0!</v>
      </c>
      <c r="G200" s="48" t="e">
        <f t="shared" si="146"/>
        <v>#VALUE!</v>
      </c>
      <c r="H200" s="48" t="e">
        <f t="shared" si="147"/>
        <v>#VALUE!</v>
      </c>
      <c r="I200" s="47" t="e">
        <f t="shared" si="148"/>
        <v>#VALUE!</v>
      </c>
      <c r="J200" s="47" t="e">
        <f t="shared" si="149"/>
        <v>#VALUE!</v>
      </c>
      <c r="K200" s="47" t="e">
        <f t="shared" si="150"/>
        <v>#VALUE!</v>
      </c>
      <c r="L200" s="49" t="e">
        <f t="shared" si="151"/>
        <v>#VALUE!</v>
      </c>
      <c r="M200" s="50" t="e">
        <f t="shared" si="152"/>
        <v>#VALUE!</v>
      </c>
      <c r="N200" s="51" t="e">
        <f t="shared" si="153"/>
        <v>#VALUE!</v>
      </c>
      <c r="O200" s="52" t="e">
        <f t="shared" si="154"/>
        <v>#VALUE!</v>
      </c>
      <c r="P200" s="28"/>
    </row>
    <row r="201" spans="1:16" x14ac:dyDescent="0.45">
      <c r="A201" s="112">
        <f t="shared" si="144"/>
        <v>0</v>
      </c>
      <c r="B201" s="114" t="str">
        <f>IF(mtx_base_4!B29 = "","",mtx_base_4!B29)</f>
        <v/>
      </c>
      <c r="C201" s="114" t="str">
        <f>IF(mtx_base_4!C29 = "","",mtx_base_4!C29)</f>
        <v/>
      </c>
      <c r="D201" s="45" t="e">
        <f t="shared" si="132"/>
        <v>#DIV/0!</v>
      </c>
      <c r="E201" s="77" t="e">
        <f t="shared" si="133"/>
        <v>#DIV/0!</v>
      </c>
      <c r="F201" s="47" t="e">
        <f t="shared" si="145"/>
        <v>#DIV/0!</v>
      </c>
      <c r="G201" s="48" t="e">
        <f t="shared" si="146"/>
        <v>#VALUE!</v>
      </c>
      <c r="H201" s="48" t="e">
        <f t="shared" si="147"/>
        <v>#VALUE!</v>
      </c>
      <c r="I201" s="47" t="e">
        <f t="shared" si="148"/>
        <v>#VALUE!</v>
      </c>
      <c r="J201" s="47" t="e">
        <f t="shared" si="149"/>
        <v>#VALUE!</v>
      </c>
      <c r="K201" s="47" t="e">
        <f t="shared" si="150"/>
        <v>#VALUE!</v>
      </c>
      <c r="L201" s="49" t="e">
        <f t="shared" si="151"/>
        <v>#VALUE!</v>
      </c>
      <c r="M201" s="50" t="e">
        <f t="shared" si="152"/>
        <v>#VALUE!</v>
      </c>
      <c r="N201" s="51" t="e">
        <f t="shared" si="153"/>
        <v>#VALUE!</v>
      </c>
      <c r="O201" s="52" t="e">
        <f t="shared" si="154"/>
        <v>#VALUE!</v>
      </c>
      <c r="P201" s="28"/>
    </row>
    <row r="202" spans="1:16" x14ac:dyDescent="0.45">
      <c r="A202" s="112">
        <f t="shared" si="144"/>
        <v>0</v>
      </c>
      <c r="B202" s="114" t="str">
        <f>IF(mtx_base_4!B30 = "","",mtx_base_4!B30)</f>
        <v/>
      </c>
      <c r="C202" s="114" t="str">
        <f>IF(mtx_base_4!C30 = "","",mtx_base_4!C30)</f>
        <v/>
      </c>
      <c r="D202" s="45" t="e">
        <f t="shared" si="132"/>
        <v>#DIV/0!</v>
      </c>
      <c r="E202" s="77" t="e">
        <f t="shared" si="133"/>
        <v>#DIV/0!</v>
      </c>
      <c r="F202" s="47" t="e">
        <f t="shared" si="145"/>
        <v>#DIV/0!</v>
      </c>
      <c r="G202" s="48" t="e">
        <f t="shared" si="146"/>
        <v>#VALUE!</v>
      </c>
      <c r="H202" s="48" t="e">
        <f t="shared" si="147"/>
        <v>#VALUE!</v>
      </c>
      <c r="I202" s="47" t="e">
        <f t="shared" si="148"/>
        <v>#VALUE!</v>
      </c>
      <c r="J202" s="47" t="e">
        <f t="shared" si="149"/>
        <v>#VALUE!</v>
      </c>
      <c r="K202" s="47" t="e">
        <f t="shared" si="150"/>
        <v>#VALUE!</v>
      </c>
      <c r="L202" s="49" t="e">
        <f t="shared" si="151"/>
        <v>#VALUE!</v>
      </c>
      <c r="M202" s="50" t="e">
        <f t="shared" si="152"/>
        <v>#VALUE!</v>
      </c>
      <c r="N202" s="51" t="e">
        <f t="shared" si="153"/>
        <v>#VALUE!</v>
      </c>
      <c r="O202" s="52" t="e">
        <f t="shared" si="154"/>
        <v>#VALUE!</v>
      </c>
      <c r="P202" s="28"/>
    </row>
    <row r="203" spans="1:16" x14ac:dyDescent="0.45">
      <c r="A203" s="112">
        <f t="shared" si="144"/>
        <v>0</v>
      </c>
      <c r="B203" s="114" t="str">
        <f>IF(mtx_base_4!B31 = "","",mtx_base_4!B31)</f>
        <v/>
      </c>
      <c r="C203" s="114" t="str">
        <f>IF(mtx_base_4!C31 = "","",mtx_base_4!C31)</f>
        <v/>
      </c>
      <c r="D203" s="45" t="e">
        <f t="shared" si="132"/>
        <v>#DIV/0!</v>
      </c>
      <c r="E203" s="77" t="e">
        <f t="shared" si="133"/>
        <v>#DIV/0!</v>
      </c>
      <c r="F203" s="47" t="e">
        <f t="shared" si="145"/>
        <v>#DIV/0!</v>
      </c>
      <c r="G203" s="48" t="e">
        <f t="shared" si="146"/>
        <v>#VALUE!</v>
      </c>
      <c r="H203" s="48" t="e">
        <f t="shared" si="147"/>
        <v>#VALUE!</v>
      </c>
      <c r="I203" s="47" t="e">
        <f t="shared" si="148"/>
        <v>#VALUE!</v>
      </c>
      <c r="J203" s="47" t="e">
        <f t="shared" si="149"/>
        <v>#VALUE!</v>
      </c>
      <c r="K203" s="47" t="e">
        <f t="shared" si="150"/>
        <v>#VALUE!</v>
      </c>
      <c r="L203" s="49" t="e">
        <f t="shared" si="151"/>
        <v>#VALUE!</v>
      </c>
      <c r="M203" s="50" t="e">
        <f t="shared" si="152"/>
        <v>#VALUE!</v>
      </c>
      <c r="N203" s="51" t="e">
        <f t="shared" si="153"/>
        <v>#VALUE!</v>
      </c>
      <c r="O203" s="52" t="e">
        <f t="shared" si="154"/>
        <v>#VALUE!</v>
      </c>
      <c r="P203" s="28"/>
    </row>
    <row r="204" spans="1:16" x14ac:dyDescent="0.45">
      <c r="A204" s="112">
        <f t="shared" si="144"/>
        <v>0</v>
      </c>
      <c r="B204" s="114" t="str">
        <f>IF(mtx_base_4!B32 = "","",mtx_base_4!B32)</f>
        <v/>
      </c>
      <c r="C204" s="114" t="str">
        <f>IF(mtx_base_4!C32 = "","",mtx_base_4!C32)</f>
        <v/>
      </c>
      <c r="D204" s="45" t="e">
        <f t="shared" si="132"/>
        <v>#DIV/0!</v>
      </c>
      <c r="E204" s="77" t="e">
        <f t="shared" si="133"/>
        <v>#DIV/0!</v>
      </c>
      <c r="F204" s="47" t="e">
        <f t="shared" si="145"/>
        <v>#DIV/0!</v>
      </c>
      <c r="G204" s="48" t="e">
        <f t="shared" si="146"/>
        <v>#VALUE!</v>
      </c>
      <c r="H204" s="48" t="e">
        <f t="shared" si="147"/>
        <v>#VALUE!</v>
      </c>
      <c r="I204" s="47" t="e">
        <f t="shared" si="148"/>
        <v>#VALUE!</v>
      </c>
      <c r="J204" s="47" t="e">
        <f t="shared" si="149"/>
        <v>#VALUE!</v>
      </c>
      <c r="K204" s="47" t="e">
        <f t="shared" si="150"/>
        <v>#VALUE!</v>
      </c>
      <c r="L204" s="49" t="e">
        <f t="shared" si="151"/>
        <v>#VALUE!</v>
      </c>
      <c r="M204" s="50" t="e">
        <f t="shared" si="152"/>
        <v>#VALUE!</v>
      </c>
      <c r="N204" s="51" t="e">
        <f t="shared" si="153"/>
        <v>#VALUE!</v>
      </c>
      <c r="O204" s="52" t="e">
        <f t="shared" si="154"/>
        <v>#VALUE!</v>
      </c>
      <c r="P204" s="28"/>
    </row>
    <row r="205" spans="1:16" x14ac:dyDescent="0.45">
      <c r="A205" s="112">
        <f t="shared" si="144"/>
        <v>0</v>
      </c>
      <c r="B205" s="114" t="str">
        <f>IF(mtx_base_4!B33 = "","",mtx_base_4!B33)</f>
        <v/>
      </c>
      <c r="C205" s="114" t="str">
        <f>IF(mtx_base_4!C33 = "","",mtx_base_4!C33)</f>
        <v/>
      </c>
      <c r="D205" s="45" t="e">
        <f t="shared" si="132"/>
        <v>#DIV/0!</v>
      </c>
      <c r="E205" s="77" t="e">
        <f t="shared" si="133"/>
        <v>#DIV/0!</v>
      </c>
      <c r="F205" s="47" t="e">
        <f t="shared" si="145"/>
        <v>#DIV/0!</v>
      </c>
      <c r="G205" s="48" t="e">
        <f t="shared" si="146"/>
        <v>#VALUE!</v>
      </c>
      <c r="H205" s="48" t="e">
        <f t="shared" si="147"/>
        <v>#VALUE!</v>
      </c>
      <c r="I205" s="47" t="e">
        <f t="shared" si="148"/>
        <v>#VALUE!</v>
      </c>
      <c r="J205" s="47" t="e">
        <f t="shared" si="149"/>
        <v>#VALUE!</v>
      </c>
      <c r="K205" s="47" t="e">
        <f t="shared" si="150"/>
        <v>#VALUE!</v>
      </c>
      <c r="L205" s="49" t="e">
        <f t="shared" si="151"/>
        <v>#VALUE!</v>
      </c>
      <c r="M205" s="50" t="e">
        <f t="shared" si="152"/>
        <v>#VALUE!</v>
      </c>
      <c r="N205" s="51" t="e">
        <f t="shared" si="153"/>
        <v>#VALUE!</v>
      </c>
      <c r="O205" s="52" t="e">
        <f t="shared" si="154"/>
        <v>#VALUE!</v>
      </c>
      <c r="P205" s="28"/>
    </row>
    <row r="206" spans="1:16" x14ac:dyDescent="0.45">
      <c r="A206" s="112">
        <f t="shared" si="144"/>
        <v>0</v>
      </c>
      <c r="B206" s="114" t="str">
        <f>IF(mtx_base_4!B34 = "","",mtx_base_4!B34)</f>
        <v/>
      </c>
      <c r="C206" s="114" t="str">
        <f>IF(mtx_base_4!C34 = "","",mtx_base_4!C34)</f>
        <v/>
      </c>
      <c r="D206" s="45" t="e">
        <f t="shared" si="132"/>
        <v>#DIV/0!</v>
      </c>
      <c r="E206" s="77" t="e">
        <f t="shared" si="133"/>
        <v>#DIV/0!</v>
      </c>
      <c r="F206" s="47" t="e">
        <f t="shared" si="145"/>
        <v>#DIV/0!</v>
      </c>
      <c r="G206" s="48" t="e">
        <f t="shared" si="146"/>
        <v>#VALUE!</v>
      </c>
      <c r="H206" s="48" t="e">
        <f t="shared" si="147"/>
        <v>#VALUE!</v>
      </c>
      <c r="I206" s="47" t="e">
        <f t="shared" si="148"/>
        <v>#VALUE!</v>
      </c>
      <c r="J206" s="47" t="e">
        <f t="shared" si="149"/>
        <v>#VALUE!</v>
      </c>
      <c r="K206" s="47" t="e">
        <f t="shared" si="150"/>
        <v>#VALUE!</v>
      </c>
      <c r="L206" s="49" t="e">
        <f t="shared" si="151"/>
        <v>#VALUE!</v>
      </c>
      <c r="M206" s="50" t="e">
        <f t="shared" si="152"/>
        <v>#VALUE!</v>
      </c>
      <c r="N206" s="51" t="e">
        <f t="shared" si="153"/>
        <v>#VALUE!</v>
      </c>
      <c r="O206" s="52" t="e">
        <f t="shared" si="154"/>
        <v>#VALUE!</v>
      </c>
      <c r="P206" s="28"/>
    </row>
    <row r="207" spans="1:16" x14ac:dyDescent="0.45">
      <c r="A207" s="112">
        <f t="shared" si="144"/>
        <v>0</v>
      </c>
      <c r="B207" s="114" t="str">
        <f>IF(mtx_base_4!B35 = "","",mtx_base_4!B35)</f>
        <v/>
      </c>
      <c r="C207" s="114" t="str">
        <f>IF(mtx_base_4!C35 = "","",mtx_base_4!C35)</f>
        <v/>
      </c>
      <c r="D207" s="45" t="e">
        <f t="shared" si="132"/>
        <v>#DIV/0!</v>
      </c>
      <c r="E207" s="77" t="e">
        <f t="shared" si="133"/>
        <v>#DIV/0!</v>
      </c>
      <c r="F207" s="47" t="e">
        <f t="shared" si="145"/>
        <v>#DIV/0!</v>
      </c>
      <c r="G207" s="48" t="e">
        <f t="shared" si="146"/>
        <v>#VALUE!</v>
      </c>
      <c r="H207" s="48" t="e">
        <f t="shared" si="147"/>
        <v>#VALUE!</v>
      </c>
      <c r="I207" s="47" t="e">
        <f t="shared" si="148"/>
        <v>#VALUE!</v>
      </c>
      <c r="J207" s="47" t="e">
        <f t="shared" si="149"/>
        <v>#VALUE!</v>
      </c>
      <c r="K207" s="47" t="e">
        <f t="shared" si="150"/>
        <v>#VALUE!</v>
      </c>
      <c r="L207" s="49" t="e">
        <f t="shared" si="151"/>
        <v>#VALUE!</v>
      </c>
      <c r="M207" s="50" t="e">
        <f t="shared" si="152"/>
        <v>#VALUE!</v>
      </c>
      <c r="N207" s="51" t="e">
        <f t="shared" si="153"/>
        <v>#VALUE!</v>
      </c>
      <c r="O207" s="52" t="e">
        <f t="shared" si="154"/>
        <v>#VALUE!</v>
      </c>
      <c r="P207" s="28"/>
    </row>
    <row r="208" spans="1:16" x14ac:dyDescent="0.45">
      <c r="A208" s="112">
        <f t="shared" si="144"/>
        <v>0</v>
      </c>
      <c r="B208" s="114" t="str">
        <f>IF(mtx_base_4!B36 = "","",mtx_base_4!B36)</f>
        <v/>
      </c>
      <c r="C208" s="114" t="str">
        <f>IF(mtx_base_4!C36 = "","",mtx_base_4!C36)</f>
        <v/>
      </c>
      <c r="D208" s="45" t="e">
        <f t="shared" si="132"/>
        <v>#DIV/0!</v>
      </c>
      <c r="E208" s="77" t="e">
        <f t="shared" si="133"/>
        <v>#DIV/0!</v>
      </c>
      <c r="F208" s="47" t="e">
        <f t="shared" si="145"/>
        <v>#DIV/0!</v>
      </c>
      <c r="G208" s="48" t="e">
        <f t="shared" si="146"/>
        <v>#VALUE!</v>
      </c>
      <c r="H208" s="48" t="e">
        <f t="shared" si="147"/>
        <v>#VALUE!</v>
      </c>
      <c r="I208" s="47" t="e">
        <f t="shared" si="148"/>
        <v>#VALUE!</v>
      </c>
      <c r="J208" s="47" t="e">
        <f t="shared" si="149"/>
        <v>#VALUE!</v>
      </c>
      <c r="K208" s="47" t="e">
        <f t="shared" si="150"/>
        <v>#VALUE!</v>
      </c>
      <c r="L208" s="49" t="e">
        <f t="shared" si="151"/>
        <v>#VALUE!</v>
      </c>
      <c r="M208" s="50" t="e">
        <f t="shared" si="152"/>
        <v>#VALUE!</v>
      </c>
      <c r="N208" s="51" t="e">
        <f t="shared" si="153"/>
        <v>#VALUE!</v>
      </c>
      <c r="O208" s="52" t="e">
        <f t="shared" si="154"/>
        <v>#VALUE!</v>
      </c>
      <c r="P208" s="28"/>
    </row>
    <row r="209" spans="1:16" x14ac:dyDescent="0.45">
      <c r="A209" s="112">
        <f t="shared" si="144"/>
        <v>0</v>
      </c>
      <c r="B209" s="114" t="str">
        <f>IF(mtx_base_4!B37 = "","",mtx_base_4!B37)</f>
        <v/>
      </c>
      <c r="C209" s="114" t="str">
        <f>IF(mtx_base_4!C37 = "","",mtx_base_4!C37)</f>
        <v/>
      </c>
      <c r="D209" s="45" t="e">
        <f t="shared" si="132"/>
        <v>#DIV/0!</v>
      </c>
      <c r="E209" s="77" t="e">
        <f t="shared" si="133"/>
        <v>#DIV/0!</v>
      </c>
      <c r="F209" s="47" t="e">
        <f t="shared" si="145"/>
        <v>#DIV/0!</v>
      </c>
      <c r="G209" s="48" t="e">
        <f t="shared" si="146"/>
        <v>#VALUE!</v>
      </c>
      <c r="H209" s="48" t="e">
        <f t="shared" si="147"/>
        <v>#VALUE!</v>
      </c>
      <c r="I209" s="47" t="e">
        <f t="shared" si="148"/>
        <v>#VALUE!</v>
      </c>
      <c r="J209" s="47" t="e">
        <f t="shared" si="149"/>
        <v>#VALUE!</v>
      </c>
      <c r="K209" s="47" t="e">
        <f t="shared" si="150"/>
        <v>#VALUE!</v>
      </c>
      <c r="L209" s="49" t="e">
        <f t="shared" si="151"/>
        <v>#VALUE!</v>
      </c>
      <c r="M209" s="50" t="e">
        <f t="shared" si="152"/>
        <v>#VALUE!</v>
      </c>
      <c r="N209" s="51" t="e">
        <f t="shared" si="153"/>
        <v>#VALUE!</v>
      </c>
      <c r="O209" s="52" t="e">
        <f t="shared" si="154"/>
        <v>#VALUE!</v>
      </c>
      <c r="P209" s="28"/>
    </row>
    <row r="210" spans="1:16" x14ac:dyDescent="0.45">
      <c r="A210" s="112">
        <f t="shared" si="144"/>
        <v>0</v>
      </c>
      <c r="B210" s="114" t="str">
        <f>IF(mtx_base_4!B38 = "","",mtx_base_4!B38)</f>
        <v/>
      </c>
      <c r="C210" s="114" t="str">
        <f>IF(mtx_base_4!C38 = "","",mtx_base_4!C38)</f>
        <v/>
      </c>
      <c r="D210" s="45" t="e">
        <f t="shared" si="132"/>
        <v>#DIV/0!</v>
      </c>
      <c r="E210" s="77" t="e">
        <f t="shared" si="133"/>
        <v>#DIV/0!</v>
      </c>
      <c r="F210" s="47" t="e">
        <f t="shared" si="145"/>
        <v>#DIV/0!</v>
      </c>
      <c r="G210" s="48" t="e">
        <f t="shared" si="146"/>
        <v>#VALUE!</v>
      </c>
      <c r="H210" s="48" t="e">
        <f t="shared" si="147"/>
        <v>#VALUE!</v>
      </c>
      <c r="I210" s="47" t="e">
        <f t="shared" si="148"/>
        <v>#VALUE!</v>
      </c>
      <c r="J210" s="47" t="e">
        <f t="shared" si="149"/>
        <v>#VALUE!</v>
      </c>
      <c r="K210" s="47" t="e">
        <f t="shared" si="150"/>
        <v>#VALUE!</v>
      </c>
      <c r="L210" s="49" t="e">
        <f t="shared" si="151"/>
        <v>#VALUE!</v>
      </c>
      <c r="M210" s="50" t="e">
        <f t="shared" si="152"/>
        <v>#VALUE!</v>
      </c>
      <c r="N210" s="51" t="e">
        <f t="shared" si="153"/>
        <v>#VALUE!</v>
      </c>
      <c r="O210" s="52" t="e">
        <f t="shared" si="154"/>
        <v>#VALUE!</v>
      </c>
      <c r="P210" s="28"/>
    </row>
    <row r="211" spans="1:16" x14ac:dyDescent="0.45">
      <c r="A211" s="112">
        <f t="shared" si="144"/>
        <v>0</v>
      </c>
      <c r="B211" s="114" t="str">
        <f>IF(mtx_base_4!B39 = "","",mtx_base_4!B39)</f>
        <v/>
      </c>
      <c r="C211" s="114" t="str">
        <f>IF(mtx_base_4!C39 = "","",mtx_base_4!C39)</f>
        <v/>
      </c>
      <c r="D211" s="45" t="e">
        <f t="shared" si="132"/>
        <v>#DIV/0!</v>
      </c>
      <c r="E211" s="77" t="e">
        <f t="shared" si="133"/>
        <v>#DIV/0!</v>
      </c>
      <c r="F211" s="47" t="e">
        <f t="shared" si="145"/>
        <v>#DIV/0!</v>
      </c>
      <c r="G211" s="48" t="e">
        <f t="shared" si="146"/>
        <v>#VALUE!</v>
      </c>
      <c r="H211" s="48" t="e">
        <f t="shared" si="147"/>
        <v>#VALUE!</v>
      </c>
      <c r="I211" s="47" t="e">
        <f t="shared" si="148"/>
        <v>#VALUE!</v>
      </c>
      <c r="J211" s="47" t="e">
        <f t="shared" si="149"/>
        <v>#VALUE!</v>
      </c>
      <c r="K211" s="47" t="e">
        <f t="shared" si="150"/>
        <v>#VALUE!</v>
      </c>
      <c r="L211" s="49" t="e">
        <f t="shared" si="151"/>
        <v>#VALUE!</v>
      </c>
      <c r="M211" s="50" t="e">
        <f t="shared" si="152"/>
        <v>#VALUE!</v>
      </c>
      <c r="N211" s="51" t="e">
        <f t="shared" si="153"/>
        <v>#VALUE!</v>
      </c>
      <c r="O211" s="52" t="e">
        <f t="shared" si="154"/>
        <v>#VALUE!</v>
      </c>
      <c r="P211" s="28"/>
    </row>
    <row r="212" spans="1:16" x14ac:dyDescent="0.45">
      <c r="A212" s="112">
        <f t="shared" si="144"/>
        <v>0</v>
      </c>
      <c r="B212" s="114" t="str">
        <f>IF(mtx_base_4!B40 = "","",mtx_base_4!B40)</f>
        <v/>
      </c>
      <c r="C212" s="114" t="str">
        <f>IF(mtx_base_4!C40 = "","",mtx_base_4!C40)</f>
        <v/>
      </c>
      <c r="D212" s="45" t="e">
        <f t="shared" si="132"/>
        <v>#DIV/0!</v>
      </c>
      <c r="E212" s="77" t="e">
        <f t="shared" si="133"/>
        <v>#DIV/0!</v>
      </c>
      <c r="F212" s="47" t="e">
        <f t="shared" si="145"/>
        <v>#DIV/0!</v>
      </c>
      <c r="G212" s="48" t="e">
        <f t="shared" si="146"/>
        <v>#VALUE!</v>
      </c>
      <c r="H212" s="48" t="e">
        <f t="shared" si="147"/>
        <v>#VALUE!</v>
      </c>
      <c r="I212" s="47" t="e">
        <f t="shared" si="148"/>
        <v>#VALUE!</v>
      </c>
      <c r="J212" s="47" t="e">
        <f t="shared" si="149"/>
        <v>#VALUE!</v>
      </c>
      <c r="K212" s="47" t="e">
        <f t="shared" si="150"/>
        <v>#VALUE!</v>
      </c>
      <c r="L212" s="49" t="e">
        <f t="shared" si="151"/>
        <v>#VALUE!</v>
      </c>
      <c r="M212" s="50" t="e">
        <f t="shared" si="152"/>
        <v>#VALUE!</v>
      </c>
      <c r="N212" s="51" t="e">
        <f t="shared" si="153"/>
        <v>#VALUE!</v>
      </c>
      <c r="O212" s="52" t="e">
        <f t="shared" si="154"/>
        <v>#VALUE!</v>
      </c>
      <c r="P212" s="28"/>
    </row>
    <row r="213" spans="1:16" x14ac:dyDescent="0.45">
      <c r="A213" s="112">
        <f t="shared" si="144"/>
        <v>0</v>
      </c>
      <c r="B213" s="114" t="str">
        <f>IF(mtx_base_4!B41 = "","",mtx_base_4!B41)</f>
        <v/>
      </c>
      <c r="C213" s="114" t="str">
        <f>IF(mtx_base_4!C41 = "","",mtx_base_4!C41)</f>
        <v/>
      </c>
      <c r="D213" s="45" t="e">
        <f t="shared" si="132"/>
        <v>#DIV/0!</v>
      </c>
      <c r="E213" s="77" t="e">
        <f t="shared" si="133"/>
        <v>#DIV/0!</v>
      </c>
      <c r="F213" s="47" t="e">
        <f t="shared" si="145"/>
        <v>#DIV/0!</v>
      </c>
      <c r="G213" s="48" t="e">
        <f t="shared" si="146"/>
        <v>#VALUE!</v>
      </c>
      <c r="H213" s="48" t="e">
        <f t="shared" si="147"/>
        <v>#VALUE!</v>
      </c>
      <c r="I213" s="47" t="e">
        <f t="shared" si="148"/>
        <v>#VALUE!</v>
      </c>
      <c r="J213" s="47" t="e">
        <f t="shared" si="149"/>
        <v>#VALUE!</v>
      </c>
      <c r="K213" s="47" t="e">
        <f t="shared" si="150"/>
        <v>#VALUE!</v>
      </c>
      <c r="L213" s="49" t="e">
        <f t="shared" si="151"/>
        <v>#VALUE!</v>
      </c>
      <c r="M213" s="50" t="e">
        <f t="shared" si="152"/>
        <v>#VALUE!</v>
      </c>
      <c r="N213" s="51" t="e">
        <f t="shared" si="153"/>
        <v>#VALUE!</v>
      </c>
      <c r="O213" s="52" t="e">
        <f t="shared" si="154"/>
        <v>#VALUE!</v>
      </c>
      <c r="P213" s="28"/>
    </row>
    <row r="214" spans="1:16" x14ac:dyDescent="0.45">
      <c r="A214" s="112">
        <f t="shared" si="144"/>
        <v>0</v>
      </c>
      <c r="B214" s="114" t="str">
        <f>IF(mtx_base_4!B42 = "","",mtx_base_4!B42)</f>
        <v/>
      </c>
      <c r="C214" s="114" t="str">
        <f>IF(mtx_base_4!C42 = "","",mtx_base_4!C42)</f>
        <v/>
      </c>
      <c r="D214" s="45" t="e">
        <f t="shared" si="132"/>
        <v>#DIV/0!</v>
      </c>
      <c r="E214" s="77" t="e">
        <f t="shared" si="133"/>
        <v>#DIV/0!</v>
      </c>
      <c r="F214" s="47" t="e">
        <f t="shared" si="145"/>
        <v>#DIV/0!</v>
      </c>
      <c r="G214" s="48" t="e">
        <f t="shared" si="146"/>
        <v>#VALUE!</v>
      </c>
      <c r="H214" s="48" t="e">
        <f t="shared" si="147"/>
        <v>#VALUE!</v>
      </c>
      <c r="I214" s="47" t="e">
        <f t="shared" si="148"/>
        <v>#VALUE!</v>
      </c>
      <c r="J214" s="47" t="e">
        <f t="shared" si="149"/>
        <v>#VALUE!</v>
      </c>
      <c r="K214" s="47" t="e">
        <f t="shared" si="150"/>
        <v>#VALUE!</v>
      </c>
      <c r="L214" s="49" t="e">
        <f t="shared" si="151"/>
        <v>#VALUE!</v>
      </c>
      <c r="M214" s="50" t="e">
        <f t="shared" si="152"/>
        <v>#VALUE!</v>
      </c>
      <c r="N214" s="51" t="e">
        <f t="shared" si="153"/>
        <v>#VALUE!</v>
      </c>
      <c r="O214" s="52" t="e">
        <f t="shared" si="154"/>
        <v>#VALUE!</v>
      </c>
      <c r="P214" s="28"/>
    </row>
    <row r="215" spans="1:16" x14ac:dyDescent="0.45">
      <c r="A215" s="112">
        <f t="shared" si="144"/>
        <v>0</v>
      </c>
      <c r="B215" s="114" t="str">
        <f>IF(mtx_base_4!B43 = "","",mtx_base_4!B43)</f>
        <v/>
      </c>
      <c r="C215" s="114" t="str">
        <f>IF(mtx_base_4!C43 = "","",mtx_base_4!C43)</f>
        <v/>
      </c>
      <c r="D215" s="45" t="e">
        <f t="shared" si="132"/>
        <v>#DIV/0!</v>
      </c>
      <c r="E215" s="77" t="e">
        <f t="shared" si="133"/>
        <v>#DIV/0!</v>
      </c>
      <c r="F215" s="47" t="e">
        <f t="shared" si="145"/>
        <v>#DIV/0!</v>
      </c>
      <c r="G215" s="48" t="e">
        <f t="shared" si="146"/>
        <v>#VALUE!</v>
      </c>
      <c r="H215" s="48" t="e">
        <f t="shared" si="147"/>
        <v>#VALUE!</v>
      </c>
      <c r="I215" s="47" t="e">
        <f t="shared" si="148"/>
        <v>#VALUE!</v>
      </c>
      <c r="J215" s="47" t="e">
        <f t="shared" si="149"/>
        <v>#VALUE!</v>
      </c>
      <c r="K215" s="47" t="e">
        <f t="shared" si="150"/>
        <v>#VALUE!</v>
      </c>
      <c r="L215" s="49" t="e">
        <f t="shared" si="151"/>
        <v>#VALUE!</v>
      </c>
      <c r="M215" s="50" t="e">
        <f t="shared" si="152"/>
        <v>#VALUE!</v>
      </c>
      <c r="N215" s="51" t="e">
        <f t="shared" si="153"/>
        <v>#VALUE!</v>
      </c>
      <c r="O215" s="52" t="e">
        <f t="shared" si="154"/>
        <v>#VALUE!</v>
      </c>
      <c r="P215" s="28"/>
    </row>
    <row r="216" spans="1:16" x14ac:dyDescent="0.45">
      <c r="A216" s="112">
        <f t="shared" si="144"/>
        <v>0</v>
      </c>
      <c r="B216" s="114" t="str">
        <f>IF(mtx_base_4!B44 = "","",mtx_base_4!B44)</f>
        <v/>
      </c>
      <c r="C216" s="114" t="str">
        <f>IF(mtx_base_4!C44 = "","",mtx_base_4!C44)</f>
        <v/>
      </c>
      <c r="D216" s="45" t="e">
        <f t="shared" ref="D216:D240" si="155">$B$186</f>
        <v>#DIV/0!</v>
      </c>
      <c r="E216" s="77" t="e">
        <f t="shared" ref="E216:E240" si="156">$C$186</f>
        <v>#DIV/0!</v>
      </c>
      <c r="F216" s="47" t="e">
        <f t="shared" ref="F216:F240" si="157">IF(AND(B216&lt;D216,C216&lt;E216),"Blue",(IF(AND(B216&lt;D216,C216&gt;E216),"Red",(IF(AND(B216&gt;D216,C216&gt;E216),"Green",(IF(AND(B216&gt;D216,C216&lt;E216),"Yellow")))))))</f>
        <v>#DIV/0!</v>
      </c>
      <c r="G216" s="48" t="e">
        <f t="shared" ref="G216:H217" si="158">B216-D216</f>
        <v>#VALUE!</v>
      </c>
      <c r="H216" s="48" t="e">
        <f t="shared" si="158"/>
        <v>#VALUE!</v>
      </c>
      <c r="I216" s="47" t="e">
        <f t="shared" ref="I216:I240" si="159">IF((ABS(G216)&lt;$E$187),"TIE",F216)</f>
        <v>#VALUE!</v>
      </c>
      <c r="J216" s="47" t="e">
        <f t="shared" ref="J216:J240" si="160">IF((ABS(H216)&lt;$F$187),"TIE",F216)</f>
        <v>#VALUE!</v>
      </c>
      <c r="K216" s="47" t="e">
        <f t="shared" ref="K216:K240" si="161">IF(AND(I216&lt;&gt;"TIE",J216&lt;&gt;"TIE"),F216,"TIE")</f>
        <v>#VALUE!</v>
      </c>
      <c r="L216" s="49" t="e">
        <f t="shared" ref="L216:L240" si="162">IF(AND(I216="TIE",C216&gt;E216),"Red/Green",(IF(AND(I216="TIE",C216&lt;E216),"Blue/Yellow",(IF(AND(B216&lt;D216,J216="TIE"),"Red/Blue",(IF(AND(B216&gt;D216,J216="TIE"),"Green/Yellow")))))))</f>
        <v>#VALUE!</v>
      </c>
      <c r="M216" s="50" t="e">
        <f t="shared" ref="M216:M240" si="163">IF(AND(I216="TIE",J216="TIE"),"Four Way Tie",IF(L216=FALSE,K216,L216))</f>
        <v>#VALUE!</v>
      </c>
      <c r="N216" s="51" t="e">
        <f t="shared" ref="N216:O216" si="164">M216</f>
        <v>#VALUE!</v>
      </c>
      <c r="O216" s="52" t="e">
        <f t="shared" si="164"/>
        <v>#VALUE!</v>
      </c>
      <c r="P216" s="28"/>
    </row>
    <row r="217" spans="1:16" x14ac:dyDescent="0.45">
      <c r="A217" s="112">
        <f t="shared" si="144"/>
        <v>0</v>
      </c>
      <c r="B217" s="114" t="str">
        <f>IF(mtx_base_4!B45 = "","",mtx_base_4!B45)</f>
        <v/>
      </c>
      <c r="C217" s="114" t="str">
        <f>IF(mtx_base_4!C45 = "","",mtx_base_4!C45)</f>
        <v/>
      </c>
      <c r="D217" s="45" t="e">
        <f t="shared" si="155"/>
        <v>#DIV/0!</v>
      </c>
      <c r="E217" s="77" t="e">
        <f t="shared" si="156"/>
        <v>#DIV/0!</v>
      </c>
      <c r="F217" s="47" t="e">
        <f t="shared" si="157"/>
        <v>#DIV/0!</v>
      </c>
      <c r="G217" s="48" t="e">
        <f t="shared" si="158"/>
        <v>#VALUE!</v>
      </c>
      <c r="H217" s="48" t="e">
        <f t="shared" si="158"/>
        <v>#VALUE!</v>
      </c>
      <c r="I217" s="47" t="e">
        <f t="shared" si="159"/>
        <v>#VALUE!</v>
      </c>
      <c r="J217" s="47" t="e">
        <f t="shared" si="160"/>
        <v>#VALUE!</v>
      </c>
      <c r="K217" s="47" t="e">
        <f t="shared" si="161"/>
        <v>#VALUE!</v>
      </c>
      <c r="L217" s="49" t="e">
        <f t="shared" si="162"/>
        <v>#VALUE!</v>
      </c>
      <c r="M217" s="53" t="e">
        <f t="shared" si="163"/>
        <v>#VALUE!</v>
      </c>
      <c r="N217" s="51" t="e">
        <f t="shared" ref="N217:O233" si="165">M217</f>
        <v>#VALUE!</v>
      </c>
      <c r="O217" s="52" t="e">
        <f t="shared" si="165"/>
        <v>#VALUE!</v>
      </c>
      <c r="P217" s="28"/>
    </row>
    <row r="218" spans="1:16" x14ac:dyDescent="0.45">
      <c r="A218" s="112">
        <f t="shared" si="144"/>
        <v>0</v>
      </c>
      <c r="B218" s="114" t="str">
        <f>IF(mtx_base_4!B46 = "","",mtx_base_4!B46)</f>
        <v/>
      </c>
      <c r="C218" s="114" t="str">
        <f>IF(mtx_base_4!C46 = "","",mtx_base_4!C46)</f>
        <v/>
      </c>
      <c r="D218" s="45" t="e">
        <f t="shared" si="155"/>
        <v>#DIV/0!</v>
      </c>
      <c r="E218" s="77" t="e">
        <f t="shared" si="156"/>
        <v>#DIV/0!</v>
      </c>
      <c r="F218" s="56" t="e">
        <f t="shared" si="157"/>
        <v>#DIV/0!</v>
      </c>
      <c r="G218" s="57" t="e">
        <f t="shared" ref="G218:H235" si="166">B218-D218</f>
        <v>#VALUE!</v>
      </c>
      <c r="H218" s="57" t="e">
        <f t="shared" si="166"/>
        <v>#VALUE!</v>
      </c>
      <c r="I218" s="47" t="e">
        <f t="shared" si="159"/>
        <v>#VALUE!</v>
      </c>
      <c r="J218" s="47" t="e">
        <f t="shared" si="160"/>
        <v>#VALUE!</v>
      </c>
      <c r="K218" s="56" t="e">
        <f t="shared" si="161"/>
        <v>#VALUE!</v>
      </c>
      <c r="L218" s="58" t="e">
        <f t="shared" si="162"/>
        <v>#VALUE!</v>
      </c>
      <c r="M218" s="53" t="e">
        <f t="shared" si="163"/>
        <v>#VALUE!</v>
      </c>
      <c r="N218" s="51" t="e">
        <f t="shared" si="165"/>
        <v>#VALUE!</v>
      </c>
      <c r="O218" s="52" t="e">
        <f t="shared" si="165"/>
        <v>#VALUE!</v>
      </c>
      <c r="P218" s="28"/>
    </row>
    <row r="219" spans="1:16" x14ac:dyDescent="0.45">
      <c r="A219" s="112">
        <f t="shared" si="144"/>
        <v>0</v>
      </c>
      <c r="B219" s="114" t="str">
        <f>IF(mtx_base_4!B47 = "","",mtx_base_4!B47)</f>
        <v/>
      </c>
      <c r="C219" s="114" t="str">
        <f>IF(mtx_base_4!C47 = "","",mtx_base_4!C47)</f>
        <v/>
      </c>
      <c r="D219" s="45" t="e">
        <f t="shared" si="155"/>
        <v>#DIV/0!</v>
      </c>
      <c r="E219" s="77" t="e">
        <f t="shared" si="156"/>
        <v>#DIV/0!</v>
      </c>
      <c r="F219" s="56" t="e">
        <f t="shared" si="157"/>
        <v>#DIV/0!</v>
      </c>
      <c r="G219" s="57" t="e">
        <f t="shared" si="166"/>
        <v>#VALUE!</v>
      </c>
      <c r="H219" s="57" t="e">
        <f t="shared" si="166"/>
        <v>#VALUE!</v>
      </c>
      <c r="I219" s="47" t="e">
        <f t="shared" si="159"/>
        <v>#VALUE!</v>
      </c>
      <c r="J219" s="47" t="e">
        <f t="shared" si="160"/>
        <v>#VALUE!</v>
      </c>
      <c r="K219" s="56" t="e">
        <f t="shared" si="161"/>
        <v>#VALUE!</v>
      </c>
      <c r="L219" s="58" t="e">
        <f t="shared" si="162"/>
        <v>#VALUE!</v>
      </c>
      <c r="M219" s="53" t="e">
        <f t="shared" si="163"/>
        <v>#VALUE!</v>
      </c>
      <c r="N219" s="51" t="e">
        <f t="shared" si="165"/>
        <v>#VALUE!</v>
      </c>
      <c r="O219" s="52" t="e">
        <f t="shared" si="165"/>
        <v>#VALUE!</v>
      </c>
      <c r="P219" s="28"/>
    </row>
    <row r="220" spans="1:16" x14ac:dyDescent="0.45">
      <c r="A220" s="112">
        <f t="shared" si="144"/>
        <v>0</v>
      </c>
      <c r="B220" s="114" t="str">
        <f>IF(mtx_base_4!B48 = "","",mtx_base_4!B48)</f>
        <v/>
      </c>
      <c r="C220" s="114" t="str">
        <f>IF(mtx_base_4!C48 = "","",mtx_base_4!C48)</f>
        <v/>
      </c>
      <c r="D220" s="45" t="e">
        <f t="shared" si="155"/>
        <v>#DIV/0!</v>
      </c>
      <c r="E220" s="77" t="e">
        <f t="shared" si="156"/>
        <v>#DIV/0!</v>
      </c>
      <c r="F220" s="56" t="e">
        <f t="shared" si="157"/>
        <v>#DIV/0!</v>
      </c>
      <c r="G220" s="57" t="e">
        <f t="shared" si="166"/>
        <v>#VALUE!</v>
      </c>
      <c r="H220" s="57" t="e">
        <f t="shared" si="166"/>
        <v>#VALUE!</v>
      </c>
      <c r="I220" s="47" t="e">
        <f t="shared" si="159"/>
        <v>#VALUE!</v>
      </c>
      <c r="J220" s="47" t="e">
        <f t="shared" si="160"/>
        <v>#VALUE!</v>
      </c>
      <c r="K220" s="56" t="e">
        <f t="shared" si="161"/>
        <v>#VALUE!</v>
      </c>
      <c r="L220" s="58" t="e">
        <f t="shared" si="162"/>
        <v>#VALUE!</v>
      </c>
      <c r="M220" s="53" t="e">
        <f t="shared" si="163"/>
        <v>#VALUE!</v>
      </c>
      <c r="N220" s="51" t="e">
        <f t="shared" si="165"/>
        <v>#VALUE!</v>
      </c>
      <c r="O220" s="52" t="e">
        <f t="shared" si="165"/>
        <v>#VALUE!</v>
      </c>
      <c r="P220" s="28"/>
    </row>
    <row r="221" spans="1:16" x14ac:dyDescent="0.45">
      <c r="A221" s="112">
        <f t="shared" si="144"/>
        <v>0</v>
      </c>
      <c r="B221" s="114" t="str">
        <f>IF(mtx_base_4!B49 = "","",mtx_base_4!B49)</f>
        <v/>
      </c>
      <c r="C221" s="114" t="str">
        <f>IF(mtx_base_4!C49 = "","",mtx_base_4!C49)</f>
        <v/>
      </c>
      <c r="D221" s="45" t="e">
        <f t="shared" si="155"/>
        <v>#DIV/0!</v>
      </c>
      <c r="E221" s="77" t="e">
        <f t="shared" si="156"/>
        <v>#DIV/0!</v>
      </c>
      <c r="F221" s="56" t="e">
        <f t="shared" si="157"/>
        <v>#DIV/0!</v>
      </c>
      <c r="G221" s="57" t="e">
        <f t="shared" si="166"/>
        <v>#VALUE!</v>
      </c>
      <c r="H221" s="57" t="e">
        <f t="shared" si="166"/>
        <v>#VALUE!</v>
      </c>
      <c r="I221" s="47" t="e">
        <f t="shared" si="159"/>
        <v>#VALUE!</v>
      </c>
      <c r="J221" s="47" t="e">
        <f t="shared" si="160"/>
        <v>#VALUE!</v>
      </c>
      <c r="K221" s="56" t="e">
        <f t="shared" si="161"/>
        <v>#VALUE!</v>
      </c>
      <c r="L221" s="58" t="e">
        <f t="shared" si="162"/>
        <v>#VALUE!</v>
      </c>
      <c r="M221" s="53" t="e">
        <f t="shared" si="163"/>
        <v>#VALUE!</v>
      </c>
      <c r="N221" s="51" t="e">
        <f t="shared" si="165"/>
        <v>#VALUE!</v>
      </c>
      <c r="O221" s="52" t="e">
        <f t="shared" si="165"/>
        <v>#VALUE!</v>
      </c>
      <c r="P221" s="28"/>
    </row>
    <row r="222" spans="1:16" x14ac:dyDescent="0.45">
      <c r="A222" s="112">
        <f t="shared" si="144"/>
        <v>0</v>
      </c>
      <c r="B222" s="114" t="str">
        <f>IF(mtx_base_4!B50 = "","",mtx_base_4!B50)</f>
        <v/>
      </c>
      <c r="C222" s="114" t="str">
        <f>IF(mtx_base_4!C50 = "","",mtx_base_4!C50)</f>
        <v/>
      </c>
      <c r="D222" s="45" t="e">
        <f t="shared" si="155"/>
        <v>#DIV/0!</v>
      </c>
      <c r="E222" s="77" t="e">
        <f t="shared" si="156"/>
        <v>#DIV/0!</v>
      </c>
      <c r="F222" s="56" t="e">
        <f t="shared" si="157"/>
        <v>#DIV/0!</v>
      </c>
      <c r="G222" s="57" t="e">
        <f t="shared" si="166"/>
        <v>#VALUE!</v>
      </c>
      <c r="H222" s="57" t="e">
        <f t="shared" si="166"/>
        <v>#VALUE!</v>
      </c>
      <c r="I222" s="47" t="e">
        <f t="shared" si="159"/>
        <v>#VALUE!</v>
      </c>
      <c r="J222" s="47" t="e">
        <f t="shared" si="160"/>
        <v>#VALUE!</v>
      </c>
      <c r="K222" s="56" t="e">
        <f t="shared" si="161"/>
        <v>#VALUE!</v>
      </c>
      <c r="L222" s="58" t="e">
        <f t="shared" si="162"/>
        <v>#VALUE!</v>
      </c>
      <c r="M222" s="53" t="e">
        <f t="shared" si="163"/>
        <v>#VALUE!</v>
      </c>
      <c r="N222" s="51" t="e">
        <f t="shared" si="165"/>
        <v>#VALUE!</v>
      </c>
      <c r="O222" s="52" t="e">
        <f t="shared" si="165"/>
        <v>#VALUE!</v>
      </c>
      <c r="P222" s="28"/>
    </row>
    <row r="223" spans="1:16" x14ac:dyDescent="0.45">
      <c r="A223" s="112">
        <f t="shared" si="144"/>
        <v>0</v>
      </c>
      <c r="B223" s="114" t="str">
        <f>IF(mtx_base_4!B51 = "","",mtx_base_4!B51)</f>
        <v/>
      </c>
      <c r="C223" s="114" t="str">
        <f>IF(mtx_base_4!C51 = "","",mtx_base_4!C51)</f>
        <v/>
      </c>
      <c r="D223" s="45" t="e">
        <f t="shared" si="155"/>
        <v>#DIV/0!</v>
      </c>
      <c r="E223" s="77" t="e">
        <f t="shared" si="156"/>
        <v>#DIV/0!</v>
      </c>
      <c r="F223" s="56" t="e">
        <f t="shared" si="157"/>
        <v>#DIV/0!</v>
      </c>
      <c r="G223" s="57" t="e">
        <f t="shared" si="166"/>
        <v>#VALUE!</v>
      </c>
      <c r="H223" s="57" t="e">
        <f t="shared" si="166"/>
        <v>#VALUE!</v>
      </c>
      <c r="I223" s="47" t="e">
        <f t="shared" si="159"/>
        <v>#VALUE!</v>
      </c>
      <c r="J223" s="47" t="e">
        <f t="shared" si="160"/>
        <v>#VALUE!</v>
      </c>
      <c r="K223" s="56" t="e">
        <f t="shared" si="161"/>
        <v>#VALUE!</v>
      </c>
      <c r="L223" s="58" t="e">
        <f t="shared" si="162"/>
        <v>#VALUE!</v>
      </c>
      <c r="M223" s="53" t="e">
        <f t="shared" si="163"/>
        <v>#VALUE!</v>
      </c>
      <c r="N223" s="51" t="e">
        <f t="shared" si="165"/>
        <v>#VALUE!</v>
      </c>
      <c r="O223" s="52" t="e">
        <f t="shared" si="165"/>
        <v>#VALUE!</v>
      </c>
      <c r="P223" s="28"/>
    </row>
    <row r="224" spans="1:16" x14ac:dyDescent="0.45">
      <c r="A224" s="112">
        <f t="shared" si="144"/>
        <v>0</v>
      </c>
      <c r="B224" s="114" t="str">
        <f>IF(mtx_base_4!B52 = "","",mtx_base_4!B52)</f>
        <v/>
      </c>
      <c r="C224" s="114" t="str">
        <f>IF(mtx_base_4!C52 = "","",mtx_base_4!C52)</f>
        <v/>
      </c>
      <c r="D224" s="45" t="e">
        <f t="shared" si="155"/>
        <v>#DIV/0!</v>
      </c>
      <c r="E224" s="77" t="e">
        <f t="shared" si="156"/>
        <v>#DIV/0!</v>
      </c>
      <c r="F224" s="56" t="e">
        <f t="shared" si="157"/>
        <v>#DIV/0!</v>
      </c>
      <c r="G224" s="57" t="e">
        <f t="shared" si="166"/>
        <v>#VALUE!</v>
      </c>
      <c r="H224" s="57" t="e">
        <f t="shared" si="166"/>
        <v>#VALUE!</v>
      </c>
      <c r="I224" s="47" t="e">
        <f t="shared" si="159"/>
        <v>#VALUE!</v>
      </c>
      <c r="J224" s="47" t="e">
        <f t="shared" si="160"/>
        <v>#VALUE!</v>
      </c>
      <c r="K224" s="56" t="e">
        <f t="shared" si="161"/>
        <v>#VALUE!</v>
      </c>
      <c r="L224" s="58" t="e">
        <f t="shared" si="162"/>
        <v>#VALUE!</v>
      </c>
      <c r="M224" s="53" t="e">
        <f t="shared" si="163"/>
        <v>#VALUE!</v>
      </c>
      <c r="N224" s="51" t="e">
        <f t="shared" si="165"/>
        <v>#VALUE!</v>
      </c>
      <c r="O224" s="52" t="e">
        <f t="shared" si="165"/>
        <v>#VALUE!</v>
      </c>
      <c r="P224" s="28"/>
    </row>
    <row r="225" spans="1:16" x14ac:dyDescent="0.45">
      <c r="A225" s="112">
        <f t="shared" si="144"/>
        <v>0</v>
      </c>
      <c r="B225" s="114" t="str">
        <f>IF(mtx_base_4!B53 = "","",mtx_base_4!B53)</f>
        <v/>
      </c>
      <c r="C225" s="114" t="str">
        <f>IF(mtx_base_4!C53 = "","",mtx_base_4!C53)</f>
        <v/>
      </c>
      <c r="D225" s="45" t="e">
        <f t="shared" si="155"/>
        <v>#DIV/0!</v>
      </c>
      <c r="E225" s="77" t="e">
        <f t="shared" si="156"/>
        <v>#DIV/0!</v>
      </c>
      <c r="F225" s="56" t="e">
        <f t="shared" si="157"/>
        <v>#DIV/0!</v>
      </c>
      <c r="G225" s="57" t="e">
        <f t="shared" si="166"/>
        <v>#VALUE!</v>
      </c>
      <c r="H225" s="57" t="e">
        <f t="shared" si="166"/>
        <v>#VALUE!</v>
      </c>
      <c r="I225" s="47" t="e">
        <f t="shared" si="159"/>
        <v>#VALUE!</v>
      </c>
      <c r="J225" s="47" t="e">
        <f t="shared" si="160"/>
        <v>#VALUE!</v>
      </c>
      <c r="K225" s="56" t="e">
        <f t="shared" si="161"/>
        <v>#VALUE!</v>
      </c>
      <c r="L225" s="58" t="e">
        <f t="shared" si="162"/>
        <v>#VALUE!</v>
      </c>
      <c r="M225" s="50" t="e">
        <f t="shared" si="163"/>
        <v>#VALUE!</v>
      </c>
      <c r="N225" s="51" t="e">
        <f t="shared" si="165"/>
        <v>#VALUE!</v>
      </c>
      <c r="O225" s="52" t="e">
        <f t="shared" si="165"/>
        <v>#VALUE!</v>
      </c>
      <c r="P225" s="28"/>
    </row>
    <row r="226" spans="1:16" x14ac:dyDescent="0.45">
      <c r="A226" s="112">
        <f t="shared" si="144"/>
        <v>0</v>
      </c>
      <c r="B226" s="114" t="str">
        <f>IF(mtx_base_4!B54 = "","",mtx_base_4!B54)</f>
        <v/>
      </c>
      <c r="C226" s="114" t="str">
        <f>IF(mtx_base_4!C54 = "","",mtx_base_4!C54)</f>
        <v/>
      </c>
      <c r="D226" s="45" t="e">
        <f t="shared" si="155"/>
        <v>#DIV/0!</v>
      </c>
      <c r="E226" s="77" t="e">
        <f t="shared" si="156"/>
        <v>#DIV/0!</v>
      </c>
      <c r="F226" s="56" t="e">
        <f t="shared" si="157"/>
        <v>#DIV/0!</v>
      </c>
      <c r="G226" s="57" t="e">
        <f t="shared" si="166"/>
        <v>#VALUE!</v>
      </c>
      <c r="H226" s="57" t="e">
        <f t="shared" si="166"/>
        <v>#VALUE!</v>
      </c>
      <c r="I226" s="47" t="e">
        <f t="shared" si="159"/>
        <v>#VALUE!</v>
      </c>
      <c r="J226" s="47" t="e">
        <f t="shared" si="160"/>
        <v>#VALUE!</v>
      </c>
      <c r="K226" s="56" t="e">
        <f t="shared" si="161"/>
        <v>#VALUE!</v>
      </c>
      <c r="L226" s="58" t="e">
        <f t="shared" si="162"/>
        <v>#VALUE!</v>
      </c>
      <c r="M226" s="50" t="e">
        <f t="shared" si="163"/>
        <v>#VALUE!</v>
      </c>
      <c r="N226" s="51" t="e">
        <f t="shared" si="165"/>
        <v>#VALUE!</v>
      </c>
      <c r="O226" s="52" t="e">
        <f t="shared" si="165"/>
        <v>#VALUE!</v>
      </c>
      <c r="P226" s="28"/>
    </row>
    <row r="227" spans="1:16" x14ac:dyDescent="0.45">
      <c r="A227" s="112">
        <f t="shared" si="144"/>
        <v>0</v>
      </c>
      <c r="B227" s="114" t="str">
        <f>IF(mtx_base_4!B55 = "","",mtx_base_4!B55)</f>
        <v/>
      </c>
      <c r="C227" s="114" t="str">
        <f>IF(mtx_base_4!C55 = "","",mtx_base_4!C55)</f>
        <v/>
      </c>
      <c r="D227" s="45" t="e">
        <f t="shared" si="155"/>
        <v>#DIV/0!</v>
      </c>
      <c r="E227" s="77" t="e">
        <f t="shared" si="156"/>
        <v>#DIV/0!</v>
      </c>
      <c r="F227" s="56" t="e">
        <f t="shared" ref="F227" si="167">IF(AND(B227&lt;D227,C227&lt;E227),"Blue",(IF(AND(B227&lt;D227,C227&gt;E227),"Red",(IF(AND(B227&gt;D227,C227&gt;E227),"Green",(IF(AND(B227&gt;D227,C227&lt;E227),"Yellow")))))))</f>
        <v>#DIV/0!</v>
      </c>
      <c r="G227" s="57" t="e">
        <f t="shared" ref="G227" si="168">B227-D227</f>
        <v>#VALUE!</v>
      </c>
      <c r="H227" s="57" t="e">
        <f t="shared" ref="H227" si="169">C227-E227</f>
        <v>#VALUE!</v>
      </c>
      <c r="I227" s="47" t="e">
        <f t="shared" ref="I227" si="170">IF((ABS(G227)&lt;$E$187),"TIE",F227)</f>
        <v>#VALUE!</v>
      </c>
      <c r="J227" s="47" t="e">
        <f t="shared" ref="J227" si="171">IF((ABS(H227)&lt;$F$187),"TIE",F227)</f>
        <v>#VALUE!</v>
      </c>
      <c r="K227" s="56" t="e">
        <f t="shared" ref="K227" si="172">IF(AND(I227&lt;&gt;"TIE",J227&lt;&gt;"TIE"),F227,"TIE")</f>
        <v>#VALUE!</v>
      </c>
      <c r="L227" s="58" t="e">
        <f t="shared" ref="L227" si="173">IF(AND(I227="TIE",C227&gt;E227),"Red/Green",(IF(AND(I227="TIE",C227&lt;E227),"Blue/Yellow",(IF(AND(B227&lt;D227,J227="TIE"),"Red/Blue",(IF(AND(B227&gt;D227,J227="TIE"),"Green/Yellow")))))))</f>
        <v>#VALUE!</v>
      </c>
      <c r="M227" s="50" t="e">
        <f t="shared" ref="M227" si="174">IF(AND(I227="TIE",J227="TIE"),"Four Way Tie",IF(L227=FALSE,K227,L227))</f>
        <v>#VALUE!</v>
      </c>
      <c r="N227" s="51" t="e">
        <f t="shared" ref="N227" si="175">M227</f>
        <v>#VALUE!</v>
      </c>
      <c r="O227" s="52" t="e">
        <f t="shared" ref="O227" si="176">N227</f>
        <v>#VALUE!</v>
      </c>
      <c r="P227" s="28"/>
    </row>
    <row r="228" spans="1:16" x14ac:dyDescent="0.45">
      <c r="A228" s="112">
        <f t="shared" si="144"/>
        <v>0</v>
      </c>
      <c r="B228" s="114" t="str">
        <f>IF(mtx_base_4!B56 = "","",mtx_base_4!B56)</f>
        <v/>
      </c>
      <c r="C228" s="114" t="str">
        <f>IF(mtx_base_4!C56 = "","",mtx_base_4!C56)</f>
        <v/>
      </c>
      <c r="D228" s="45" t="e">
        <f t="shared" si="155"/>
        <v>#DIV/0!</v>
      </c>
      <c r="E228" s="77" t="e">
        <f t="shared" si="156"/>
        <v>#DIV/0!</v>
      </c>
      <c r="F228" s="56" t="e">
        <f t="shared" si="157"/>
        <v>#DIV/0!</v>
      </c>
      <c r="G228" s="57" t="e">
        <f t="shared" si="166"/>
        <v>#VALUE!</v>
      </c>
      <c r="H228" s="57" t="e">
        <f t="shared" si="166"/>
        <v>#VALUE!</v>
      </c>
      <c r="I228" s="47" t="e">
        <f t="shared" si="159"/>
        <v>#VALUE!</v>
      </c>
      <c r="J228" s="47" t="e">
        <f t="shared" si="160"/>
        <v>#VALUE!</v>
      </c>
      <c r="K228" s="56" t="e">
        <f t="shared" si="161"/>
        <v>#VALUE!</v>
      </c>
      <c r="L228" s="58" t="e">
        <f t="shared" si="162"/>
        <v>#VALUE!</v>
      </c>
      <c r="M228" s="50" t="e">
        <f t="shared" si="163"/>
        <v>#VALUE!</v>
      </c>
      <c r="N228" s="51" t="e">
        <f t="shared" si="165"/>
        <v>#VALUE!</v>
      </c>
      <c r="O228" s="52" t="e">
        <f t="shared" si="165"/>
        <v>#VALUE!</v>
      </c>
      <c r="P228" s="28"/>
    </row>
    <row r="229" spans="1:16" x14ac:dyDescent="0.45">
      <c r="A229" s="112">
        <f t="shared" si="144"/>
        <v>0</v>
      </c>
      <c r="B229" s="114" t="str">
        <f>IF(mtx_base_4!B57 = "","",mtx_base_4!B57)</f>
        <v/>
      </c>
      <c r="C229" s="114" t="str">
        <f>IF(mtx_base_4!C57 = "","",mtx_base_4!C57)</f>
        <v/>
      </c>
      <c r="D229" s="45" t="e">
        <f t="shared" si="155"/>
        <v>#DIV/0!</v>
      </c>
      <c r="E229" s="77" t="e">
        <f t="shared" si="156"/>
        <v>#DIV/0!</v>
      </c>
      <c r="F229" s="56" t="e">
        <f t="shared" si="157"/>
        <v>#DIV/0!</v>
      </c>
      <c r="G229" s="57" t="e">
        <f t="shared" si="166"/>
        <v>#VALUE!</v>
      </c>
      <c r="H229" s="57" t="e">
        <f t="shared" si="166"/>
        <v>#VALUE!</v>
      </c>
      <c r="I229" s="47" t="e">
        <f t="shared" si="159"/>
        <v>#VALUE!</v>
      </c>
      <c r="J229" s="47" t="e">
        <f t="shared" si="160"/>
        <v>#VALUE!</v>
      </c>
      <c r="K229" s="56" t="e">
        <f t="shared" si="161"/>
        <v>#VALUE!</v>
      </c>
      <c r="L229" s="58" t="e">
        <f t="shared" si="162"/>
        <v>#VALUE!</v>
      </c>
      <c r="M229" s="50" t="e">
        <f t="shared" si="163"/>
        <v>#VALUE!</v>
      </c>
      <c r="N229" s="51" t="e">
        <f t="shared" si="165"/>
        <v>#VALUE!</v>
      </c>
      <c r="O229" s="52" t="e">
        <f t="shared" si="165"/>
        <v>#VALUE!</v>
      </c>
      <c r="P229" s="28"/>
    </row>
    <row r="230" spans="1:16" x14ac:dyDescent="0.45">
      <c r="A230" s="112">
        <f t="shared" si="144"/>
        <v>0</v>
      </c>
      <c r="B230" s="114" t="str">
        <f>IF(mtx_base_4!B58 = "","",mtx_base_4!B58)</f>
        <v/>
      </c>
      <c r="C230" s="114" t="str">
        <f>IF(mtx_base_4!C58 = "","",mtx_base_4!C58)</f>
        <v/>
      </c>
      <c r="D230" s="45" t="e">
        <f t="shared" si="155"/>
        <v>#DIV/0!</v>
      </c>
      <c r="E230" s="77" t="e">
        <f t="shared" si="156"/>
        <v>#DIV/0!</v>
      </c>
      <c r="F230" s="56" t="e">
        <f t="shared" si="157"/>
        <v>#DIV/0!</v>
      </c>
      <c r="G230" s="57" t="e">
        <f t="shared" si="166"/>
        <v>#VALUE!</v>
      </c>
      <c r="H230" s="57" t="e">
        <f t="shared" si="166"/>
        <v>#VALUE!</v>
      </c>
      <c r="I230" s="47" t="e">
        <f t="shared" si="159"/>
        <v>#VALUE!</v>
      </c>
      <c r="J230" s="47" t="e">
        <f t="shared" si="160"/>
        <v>#VALUE!</v>
      </c>
      <c r="K230" s="56" t="e">
        <f t="shared" si="161"/>
        <v>#VALUE!</v>
      </c>
      <c r="L230" s="58" t="e">
        <f t="shared" si="162"/>
        <v>#VALUE!</v>
      </c>
      <c r="M230" s="50" t="e">
        <f t="shared" si="163"/>
        <v>#VALUE!</v>
      </c>
      <c r="N230" s="51" t="e">
        <f t="shared" si="165"/>
        <v>#VALUE!</v>
      </c>
      <c r="O230" s="52" t="e">
        <f t="shared" si="165"/>
        <v>#VALUE!</v>
      </c>
      <c r="P230" s="28"/>
    </row>
    <row r="231" spans="1:16" x14ac:dyDescent="0.45">
      <c r="A231" s="112">
        <f t="shared" si="144"/>
        <v>0</v>
      </c>
      <c r="B231" s="114" t="str">
        <f>IF(mtx_base_4!B59 = "","",mtx_base_4!B59)</f>
        <v/>
      </c>
      <c r="C231" s="114" t="str">
        <f>IF(mtx_base_4!C59 = "","",mtx_base_4!C59)</f>
        <v/>
      </c>
      <c r="D231" s="45" t="e">
        <f t="shared" si="155"/>
        <v>#DIV/0!</v>
      </c>
      <c r="E231" s="77" t="e">
        <f t="shared" si="156"/>
        <v>#DIV/0!</v>
      </c>
      <c r="F231" s="56" t="e">
        <f t="shared" si="157"/>
        <v>#DIV/0!</v>
      </c>
      <c r="G231" s="57" t="e">
        <f t="shared" si="166"/>
        <v>#VALUE!</v>
      </c>
      <c r="H231" s="57" t="e">
        <f t="shared" si="166"/>
        <v>#VALUE!</v>
      </c>
      <c r="I231" s="47" t="e">
        <f t="shared" si="159"/>
        <v>#VALUE!</v>
      </c>
      <c r="J231" s="47" t="e">
        <f t="shared" si="160"/>
        <v>#VALUE!</v>
      </c>
      <c r="K231" s="56" t="e">
        <f t="shared" si="161"/>
        <v>#VALUE!</v>
      </c>
      <c r="L231" s="58" t="e">
        <f t="shared" si="162"/>
        <v>#VALUE!</v>
      </c>
      <c r="M231" s="50" t="e">
        <f t="shared" si="163"/>
        <v>#VALUE!</v>
      </c>
      <c r="N231" s="51" t="e">
        <f t="shared" si="165"/>
        <v>#VALUE!</v>
      </c>
      <c r="O231" s="52" t="e">
        <f t="shared" si="165"/>
        <v>#VALUE!</v>
      </c>
      <c r="P231" s="28"/>
    </row>
    <row r="232" spans="1:16" x14ac:dyDescent="0.45">
      <c r="A232" s="112">
        <f t="shared" si="144"/>
        <v>0</v>
      </c>
      <c r="B232" s="114" t="str">
        <f>IF(mtx_base_4!B60 = "","",mtx_base_4!B60)</f>
        <v/>
      </c>
      <c r="C232" s="114" t="str">
        <f>IF(mtx_base_4!C60 = "","",mtx_base_4!C60)</f>
        <v/>
      </c>
      <c r="D232" s="45" t="e">
        <f t="shared" si="155"/>
        <v>#DIV/0!</v>
      </c>
      <c r="E232" s="77" t="e">
        <f t="shared" si="156"/>
        <v>#DIV/0!</v>
      </c>
      <c r="F232" s="56" t="e">
        <f t="shared" si="157"/>
        <v>#DIV/0!</v>
      </c>
      <c r="G232" s="57" t="e">
        <f t="shared" si="166"/>
        <v>#VALUE!</v>
      </c>
      <c r="H232" s="57" t="e">
        <f t="shared" si="166"/>
        <v>#VALUE!</v>
      </c>
      <c r="I232" s="47" t="e">
        <f t="shared" si="159"/>
        <v>#VALUE!</v>
      </c>
      <c r="J232" s="47" t="e">
        <f t="shared" si="160"/>
        <v>#VALUE!</v>
      </c>
      <c r="K232" s="56" t="e">
        <f t="shared" si="161"/>
        <v>#VALUE!</v>
      </c>
      <c r="L232" s="58" t="e">
        <f t="shared" si="162"/>
        <v>#VALUE!</v>
      </c>
      <c r="M232" s="50" t="e">
        <f t="shared" si="163"/>
        <v>#VALUE!</v>
      </c>
      <c r="N232" s="51" t="e">
        <f t="shared" si="165"/>
        <v>#VALUE!</v>
      </c>
      <c r="O232" s="52" t="e">
        <f t="shared" si="165"/>
        <v>#VALUE!</v>
      </c>
      <c r="P232" s="28"/>
    </row>
    <row r="233" spans="1:16" x14ac:dyDescent="0.45">
      <c r="A233" s="112">
        <f t="shared" si="144"/>
        <v>0</v>
      </c>
      <c r="B233" s="114" t="str">
        <f>IF(mtx_base_4!B61 = "","",mtx_base_4!B61)</f>
        <v/>
      </c>
      <c r="C233" s="114" t="str">
        <f>IF(mtx_base_4!C61 = "","",mtx_base_4!C61)</f>
        <v/>
      </c>
      <c r="D233" s="45" t="e">
        <f t="shared" si="155"/>
        <v>#DIV/0!</v>
      </c>
      <c r="E233" s="77" t="e">
        <f t="shared" si="156"/>
        <v>#DIV/0!</v>
      </c>
      <c r="F233" s="56" t="e">
        <f t="shared" si="157"/>
        <v>#DIV/0!</v>
      </c>
      <c r="G233" s="57" t="e">
        <f t="shared" si="166"/>
        <v>#VALUE!</v>
      </c>
      <c r="H233" s="57" t="e">
        <f t="shared" si="166"/>
        <v>#VALUE!</v>
      </c>
      <c r="I233" s="47" t="e">
        <f t="shared" si="159"/>
        <v>#VALUE!</v>
      </c>
      <c r="J233" s="47" t="e">
        <f t="shared" si="160"/>
        <v>#VALUE!</v>
      </c>
      <c r="K233" s="56" t="e">
        <f t="shared" si="161"/>
        <v>#VALUE!</v>
      </c>
      <c r="L233" s="58" t="e">
        <f t="shared" si="162"/>
        <v>#VALUE!</v>
      </c>
      <c r="M233" s="50" t="e">
        <f t="shared" si="163"/>
        <v>#VALUE!</v>
      </c>
      <c r="N233" s="51" t="e">
        <f t="shared" si="165"/>
        <v>#VALUE!</v>
      </c>
      <c r="O233" s="52" t="e">
        <f t="shared" si="165"/>
        <v>#VALUE!</v>
      </c>
      <c r="P233" s="28"/>
    </row>
    <row r="234" spans="1:16" x14ac:dyDescent="0.45">
      <c r="A234" s="112">
        <f t="shared" si="144"/>
        <v>0</v>
      </c>
      <c r="B234" s="114" t="str">
        <f>IF(mtx_base_4!B62 = "","",mtx_base_4!B62)</f>
        <v/>
      </c>
      <c r="C234" s="114" t="str">
        <f>IF(mtx_base_4!C62 = "","",mtx_base_4!C62)</f>
        <v/>
      </c>
      <c r="D234" s="45" t="e">
        <f t="shared" si="155"/>
        <v>#DIV/0!</v>
      </c>
      <c r="E234" s="77" t="e">
        <f t="shared" si="156"/>
        <v>#DIV/0!</v>
      </c>
      <c r="F234" s="56" t="e">
        <f t="shared" si="157"/>
        <v>#DIV/0!</v>
      </c>
      <c r="G234" s="57" t="e">
        <f t="shared" si="166"/>
        <v>#VALUE!</v>
      </c>
      <c r="H234" s="57" t="e">
        <f t="shared" si="166"/>
        <v>#VALUE!</v>
      </c>
      <c r="I234" s="47" t="e">
        <f t="shared" si="159"/>
        <v>#VALUE!</v>
      </c>
      <c r="J234" s="47" t="e">
        <f t="shared" si="160"/>
        <v>#VALUE!</v>
      </c>
      <c r="K234" s="56" t="e">
        <f t="shared" si="161"/>
        <v>#VALUE!</v>
      </c>
      <c r="L234" s="58" t="e">
        <f t="shared" si="162"/>
        <v>#VALUE!</v>
      </c>
      <c r="M234" s="50" t="e">
        <f t="shared" si="163"/>
        <v>#VALUE!</v>
      </c>
      <c r="N234" s="51" t="e">
        <f t="shared" ref="N234:O240" si="177">M234</f>
        <v>#VALUE!</v>
      </c>
      <c r="O234" s="52" t="e">
        <f t="shared" si="177"/>
        <v>#VALUE!</v>
      </c>
      <c r="P234" s="28"/>
    </row>
    <row r="235" spans="1:16" x14ac:dyDescent="0.45">
      <c r="A235" s="112">
        <f t="shared" si="144"/>
        <v>0</v>
      </c>
      <c r="B235" s="114" t="str">
        <f>IF(mtx_base_4!B63 = "","",mtx_base_4!B63)</f>
        <v/>
      </c>
      <c r="C235" s="114" t="str">
        <f>IF(mtx_base_4!C63 = "","",mtx_base_4!C63)</f>
        <v/>
      </c>
      <c r="D235" s="45" t="e">
        <f t="shared" si="155"/>
        <v>#DIV/0!</v>
      </c>
      <c r="E235" s="77" t="e">
        <f t="shared" si="156"/>
        <v>#DIV/0!</v>
      </c>
      <c r="F235" s="56" t="e">
        <f t="shared" si="157"/>
        <v>#DIV/0!</v>
      </c>
      <c r="G235" s="57" t="e">
        <f t="shared" si="166"/>
        <v>#VALUE!</v>
      </c>
      <c r="H235" s="57" t="e">
        <f t="shared" si="166"/>
        <v>#VALUE!</v>
      </c>
      <c r="I235" s="47" t="e">
        <f t="shared" si="159"/>
        <v>#VALUE!</v>
      </c>
      <c r="J235" s="47" t="e">
        <f t="shared" si="160"/>
        <v>#VALUE!</v>
      </c>
      <c r="K235" s="56" t="e">
        <f t="shared" si="161"/>
        <v>#VALUE!</v>
      </c>
      <c r="L235" s="58" t="e">
        <f t="shared" si="162"/>
        <v>#VALUE!</v>
      </c>
      <c r="M235" s="50" t="e">
        <f t="shared" si="163"/>
        <v>#VALUE!</v>
      </c>
      <c r="N235" s="51" t="e">
        <f t="shared" si="177"/>
        <v>#VALUE!</v>
      </c>
      <c r="O235" s="52" t="e">
        <f t="shared" si="177"/>
        <v>#VALUE!</v>
      </c>
      <c r="P235" s="28"/>
    </row>
    <row r="236" spans="1:16" x14ac:dyDescent="0.45">
      <c r="A236" s="112">
        <f t="shared" si="144"/>
        <v>0</v>
      </c>
      <c r="B236" s="114" t="str">
        <f>IF(mtx_base_4!B64 = "","",mtx_base_4!B64)</f>
        <v/>
      </c>
      <c r="C236" s="114" t="str">
        <f>IF(mtx_base_4!C64 = "","",mtx_base_4!C64)</f>
        <v/>
      </c>
      <c r="D236" s="45" t="e">
        <f t="shared" si="155"/>
        <v>#DIV/0!</v>
      </c>
      <c r="E236" s="77" t="e">
        <f t="shared" si="156"/>
        <v>#DIV/0!</v>
      </c>
      <c r="F236" s="56" t="e">
        <f t="shared" si="157"/>
        <v>#DIV/0!</v>
      </c>
      <c r="G236" s="57" t="e">
        <f t="shared" ref="G236:H240" si="178">B236-D236</f>
        <v>#VALUE!</v>
      </c>
      <c r="H236" s="57" t="e">
        <f t="shared" si="178"/>
        <v>#VALUE!</v>
      </c>
      <c r="I236" s="47" t="e">
        <f t="shared" si="159"/>
        <v>#VALUE!</v>
      </c>
      <c r="J236" s="47" t="e">
        <f t="shared" si="160"/>
        <v>#VALUE!</v>
      </c>
      <c r="K236" s="56" t="e">
        <f t="shared" si="161"/>
        <v>#VALUE!</v>
      </c>
      <c r="L236" s="58" t="e">
        <f t="shared" si="162"/>
        <v>#VALUE!</v>
      </c>
      <c r="M236" s="50" t="e">
        <f t="shared" si="163"/>
        <v>#VALUE!</v>
      </c>
      <c r="N236" s="51" t="e">
        <f t="shared" si="177"/>
        <v>#VALUE!</v>
      </c>
      <c r="O236" s="52" t="e">
        <f t="shared" si="177"/>
        <v>#VALUE!</v>
      </c>
      <c r="P236" s="28"/>
    </row>
    <row r="237" spans="1:16" x14ac:dyDescent="0.45">
      <c r="A237" s="112">
        <f t="shared" si="144"/>
        <v>0</v>
      </c>
      <c r="B237" s="114" t="str">
        <f>IF(mtx_base_4!B65 = "","",mtx_base_4!B65)</f>
        <v/>
      </c>
      <c r="C237" s="114" t="str">
        <f>IF(mtx_base_4!C65 = "","",mtx_base_4!C65)</f>
        <v/>
      </c>
      <c r="D237" s="45" t="e">
        <f t="shared" si="155"/>
        <v>#DIV/0!</v>
      </c>
      <c r="E237" s="77" t="e">
        <f t="shared" si="156"/>
        <v>#DIV/0!</v>
      </c>
      <c r="F237" s="56" t="e">
        <f t="shared" si="157"/>
        <v>#DIV/0!</v>
      </c>
      <c r="G237" s="57" t="e">
        <f t="shared" si="178"/>
        <v>#VALUE!</v>
      </c>
      <c r="H237" s="57" t="e">
        <f t="shared" si="178"/>
        <v>#VALUE!</v>
      </c>
      <c r="I237" s="47" t="e">
        <f t="shared" si="159"/>
        <v>#VALUE!</v>
      </c>
      <c r="J237" s="47" t="e">
        <f t="shared" si="160"/>
        <v>#VALUE!</v>
      </c>
      <c r="K237" s="56" t="e">
        <f t="shared" si="161"/>
        <v>#VALUE!</v>
      </c>
      <c r="L237" s="58" t="e">
        <f t="shared" si="162"/>
        <v>#VALUE!</v>
      </c>
      <c r="M237" s="50" t="e">
        <f t="shared" si="163"/>
        <v>#VALUE!</v>
      </c>
      <c r="N237" s="51" t="e">
        <f t="shared" si="177"/>
        <v>#VALUE!</v>
      </c>
      <c r="O237" s="52" t="e">
        <f t="shared" si="177"/>
        <v>#VALUE!</v>
      </c>
      <c r="P237" s="28"/>
    </row>
    <row r="238" spans="1:16" x14ac:dyDescent="0.45">
      <c r="A238" s="112">
        <f t="shared" si="144"/>
        <v>0</v>
      </c>
      <c r="B238" s="114" t="str">
        <f>IF(mtx_base_4!B66 = "","",mtx_base_4!B66)</f>
        <v/>
      </c>
      <c r="C238" s="114" t="str">
        <f>IF(mtx_base_4!C66 = "","",mtx_base_4!C66)</f>
        <v/>
      </c>
      <c r="D238" s="45" t="e">
        <f t="shared" si="155"/>
        <v>#DIV/0!</v>
      </c>
      <c r="E238" s="77" t="e">
        <f t="shared" si="156"/>
        <v>#DIV/0!</v>
      </c>
      <c r="F238" s="56" t="e">
        <f t="shared" si="157"/>
        <v>#DIV/0!</v>
      </c>
      <c r="G238" s="57" t="e">
        <f t="shared" si="178"/>
        <v>#VALUE!</v>
      </c>
      <c r="H238" s="57" t="e">
        <f t="shared" si="178"/>
        <v>#VALUE!</v>
      </c>
      <c r="I238" s="47" t="e">
        <f t="shared" si="159"/>
        <v>#VALUE!</v>
      </c>
      <c r="J238" s="47" t="e">
        <f t="shared" si="160"/>
        <v>#VALUE!</v>
      </c>
      <c r="K238" s="56" t="e">
        <f t="shared" si="161"/>
        <v>#VALUE!</v>
      </c>
      <c r="L238" s="58" t="e">
        <f t="shared" si="162"/>
        <v>#VALUE!</v>
      </c>
      <c r="M238" s="50" t="e">
        <f t="shared" si="163"/>
        <v>#VALUE!</v>
      </c>
      <c r="N238" s="51" t="e">
        <f t="shared" si="177"/>
        <v>#VALUE!</v>
      </c>
      <c r="O238" s="52" t="e">
        <f t="shared" si="177"/>
        <v>#VALUE!</v>
      </c>
      <c r="P238" s="28"/>
    </row>
    <row r="239" spans="1:16" x14ac:dyDescent="0.45">
      <c r="A239" s="112">
        <f t="shared" si="144"/>
        <v>0</v>
      </c>
      <c r="B239" s="114" t="str">
        <f>IF(mtx_base_4!B67 = "","",mtx_base_4!B67)</f>
        <v/>
      </c>
      <c r="C239" s="114" t="str">
        <f>IF(mtx_base_4!C67 = "","",mtx_base_4!C67)</f>
        <v/>
      </c>
      <c r="D239" s="45" t="e">
        <f t="shared" si="155"/>
        <v>#DIV/0!</v>
      </c>
      <c r="E239" s="77" t="e">
        <f t="shared" si="156"/>
        <v>#DIV/0!</v>
      </c>
      <c r="F239" s="56" t="e">
        <f t="shared" si="157"/>
        <v>#DIV/0!</v>
      </c>
      <c r="G239" s="57" t="e">
        <f t="shared" si="178"/>
        <v>#VALUE!</v>
      </c>
      <c r="H239" s="57" t="e">
        <f t="shared" si="178"/>
        <v>#VALUE!</v>
      </c>
      <c r="I239" s="47" t="e">
        <f t="shared" si="159"/>
        <v>#VALUE!</v>
      </c>
      <c r="J239" s="47" t="e">
        <f t="shared" si="160"/>
        <v>#VALUE!</v>
      </c>
      <c r="K239" s="56" t="e">
        <f t="shared" si="161"/>
        <v>#VALUE!</v>
      </c>
      <c r="L239" s="58" t="e">
        <f t="shared" si="162"/>
        <v>#VALUE!</v>
      </c>
      <c r="M239" s="50" t="e">
        <f t="shared" si="163"/>
        <v>#VALUE!</v>
      </c>
      <c r="N239" s="51" t="e">
        <f t="shared" si="177"/>
        <v>#VALUE!</v>
      </c>
      <c r="O239" s="52" t="e">
        <f t="shared" si="177"/>
        <v>#VALUE!</v>
      </c>
      <c r="P239" s="28"/>
    </row>
    <row r="240" spans="1:16" ht="16.5" thickBot="1" x14ac:dyDescent="0.5">
      <c r="A240" s="112">
        <f t="shared" si="144"/>
        <v>0</v>
      </c>
      <c r="B240" s="114" t="str">
        <f>IF(mtx_base_4!B68 = "","",mtx_base_4!B68)</f>
        <v/>
      </c>
      <c r="C240" s="114" t="str">
        <f>IF(mtx_base_4!C68 = "","",mtx_base_4!C68)</f>
        <v/>
      </c>
      <c r="D240" s="45" t="e">
        <f t="shared" si="155"/>
        <v>#DIV/0!</v>
      </c>
      <c r="E240" s="77" t="e">
        <f t="shared" si="156"/>
        <v>#DIV/0!</v>
      </c>
      <c r="F240" s="56" t="e">
        <f t="shared" si="157"/>
        <v>#DIV/0!</v>
      </c>
      <c r="G240" s="57" t="e">
        <f t="shared" si="178"/>
        <v>#VALUE!</v>
      </c>
      <c r="H240" s="57" t="e">
        <f t="shared" si="178"/>
        <v>#VALUE!</v>
      </c>
      <c r="I240" s="47" t="e">
        <f t="shared" si="159"/>
        <v>#VALUE!</v>
      </c>
      <c r="J240" s="47" t="e">
        <f t="shared" si="160"/>
        <v>#VALUE!</v>
      </c>
      <c r="K240" s="56" t="e">
        <f t="shared" si="161"/>
        <v>#VALUE!</v>
      </c>
      <c r="L240" s="58" t="e">
        <f t="shared" si="162"/>
        <v>#VALUE!</v>
      </c>
      <c r="M240" s="50" t="e">
        <f t="shared" si="163"/>
        <v>#VALUE!</v>
      </c>
      <c r="N240" s="51" t="e">
        <f t="shared" si="177"/>
        <v>#VALUE!</v>
      </c>
      <c r="O240" s="52" t="e">
        <f t="shared" si="177"/>
        <v>#VALUE!</v>
      </c>
      <c r="P240" s="28"/>
    </row>
    <row r="241" spans="1:16" ht="16.5" thickBot="1" x14ac:dyDescent="0.5">
      <c r="A241" s="60" t="s">
        <v>46</v>
      </c>
      <c r="B241" s="7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</row>
    <row r="242" spans="1:16" ht="25.5" thickBot="1" x14ac:dyDescent="0.75">
      <c r="A242" s="27" t="s">
        <v>50</v>
      </c>
      <c r="B242" s="137"/>
      <c r="C242" s="137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</row>
    <row r="243" spans="1:16" ht="16.5" thickBot="1" x14ac:dyDescent="0.5">
      <c r="A243" s="30"/>
      <c r="B243" s="137"/>
      <c r="C243" s="137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</row>
    <row r="244" spans="1:16" ht="16.5" thickBot="1" x14ac:dyDescent="0.5">
      <c r="A244" s="31" t="s">
        <v>30</v>
      </c>
      <c r="B244" s="137"/>
      <c r="C244" s="137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</row>
    <row r="245" spans="1:16" x14ac:dyDescent="0.45">
      <c r="A245" s="32" t="s">
        <v>31</v>
      </c>
      <c r="B245" s="33" t="e">
        <f>AVERAGE(B250:B299)</f>
        <v>#DIV/0!</v>
      </c>
      <c r="C245" s="34" t="e">
        <f>AVERAGE(C250:C299)</f>
        <v>#DIV/0!</v>
      </c>
      <c r="D245" s="35" t="s">
        <v>32</v>
      </c>
      <c r="E245" s="61" t="e">
        <f>B247-B246</f>
        <v>#DIV/0!</v>
      </c>
      <c r="F245" s="62" t="e">
        <f>C247-C246</f>
        <v>#DIV/0!</v>
      </c>
      <c r="G245" s="38"/>
      <c r="H245" s="39"/>
      <c r="I245" s="38"/>
      <c r="J245" s="38"/>
      <c r="K245" s="28"/>
      <c r="L245" s="28"/>
      <c r="M245" s="28"/>
      <c r="N245" s="28"/>
      <c r="O245" s="28"/>
      <c r="P245" s="28"/>
    </row>
    <row r="246" spans="1:16" ht="16.5" thickBot="1" x14ac:dyDescent="0.5">
      <c r="A246" s="63" t="s">
        <v>33</v>
      </c>
      <c r="B246" s="64" t="e">
        <f>B245-1.1*(MAX(MAX(B250:B299)-B245,B245-MIN(B250:B299)))</f>
        <v>#DIV/0!</v>
      </c>
      <c r="C246" s="133" t="e">
        <f>C245-1.1*(MAX(MAX(C250:C299)-C245,C245-MIN(C250:C299)))</f>
        <v>#DIV/0!</v>
      </c>
      <c r="D246" s="65" t="s">
        <v>34</v>
      </c>
      <c r="E246" s="66" t="e">
        <f>+E245/75</f>
        <v>#DIV/0!</v>
      </c>
      <c r="F246" s="67" t="e">
        <f>+F245/75</f>
        <v>#DIV/0!</v>
      </c>
      <c r="G246" s="38"/>
      <c r="H246" s="38"/>
      <c r="I246" s="38"/>
      <c r="J246" s="38"/>
      <c r="K246" s="28"/>
      <c r="L246" s="28"/>
      <c r="M246" s="28"/>
      <c r="N246" s="28"/>
      <c r="O246" s="28"/>
      <c r="P246" s="28"/>
    </row>
    <row r="247" spans="1:16" ht="16.5" thickBot="1" x14ac:dyDescent="0.5">
      <c r="A247" s="68" t="s">
        <v>35</v>
      </c>
      <c r="B247" s="69" t="e">
        <f>B245+1.1*(MAX(MAX(B250:B299)-B245,B245-MIN(B250:B299)))</f>
        <v>#DIV/0!</v>
      </c>
      <c r="C247" s="70" t="e">
        <f>C245+1.1*(MAX(MAX(C250:C299)-C245,C245-MIN(C250:C299)))</f>
        <v>#DIV/0!</v>
      </c>
      <c r="D247" s="40"/>
      <c r="E247" s="41"/>
      <c r="F247" s="41"/>
      <c r="G247" s="42"/>
      <c r="H247" s="42"/>
      <c r="I247" s="42"/>
      <c r="J247" s="42"/>
      <c r="K247" s="43"/>
      <c r="L247" s="43"/>
      <c r="M247" s="28"/>
      <c r="N247" s="28"/>
      <c r="O247" s="28"/>
      <c r="P247" s="28"/>
    </row>
    <row r="248" spans="1:16" x14ac:dyDescent="0.45">
      <c r="A248" s="28"/>
      <c r="B248" s="38"/>
      <c r="C248" s="44"/>
      <c r="D248" s="138" t="s">
        <v>36</v>
      </c>
      <c r="E248" s="139"/>
      <c r="F248" s="139"/>
      <c r="G248" s="139"/>
      <c r="H248" s="139"/>
      <c r="I248" s="139"/>
      <c r="J248" s="139"/>
      <c r="K248" s="139"/>
      <c r="L248" s="139"/>
      <c r="M248" s="140" t="s">
        <v>37</v>
      </c>
      <c r="N248" s="140"/>
      <c r="O248" s="144" t="s">
        <v>38</v>
      </c>
      <c r="P248" s="28"/>
    </row>
    <row r="249" spans="1:16" ht="16.5" thickBot="1" x14ac:dyDescent="0.5">
      <c r="A249" s="71" t="s">
        <v>39</v>
      </c>
      <c r="B249" s="72" t="s">
        <v>40</v>
      </c>
      <c r="C249" s="73" t="s">
        <v>41</v>
      </c>
      <c r="D249" s="149" t="s">
        <v>42</v>
      </c>
      <c r="E249" s="150"/>
      <c r="F249" s="74" t="s">
        <v>43</v>
      </c>
      <c r="G249" s="150" t="s">
        <v>44</v>
      </c>
      <c r="H249" s="150"/>
      <c r="I249" s="150"/>
      <c r="J249" s="150"/>
      <c r="K249" s="150" t="s">
        <v>45</v>
      </c>
      <c r="L249" s="150"/>
      <c r="M249" s="152"/>
      <c r="N249" s="152"/>
      <c r="O249" s="148"/>
      <c r="P249" s="28"/>
    </row>
    <row r="250" spans="1:16" x14ac:dyDescent="0.45">
      <c r="A250" s="112">
        <f>A9</f>
        <v>0</v>
      </c>
      <c r="B250" s="114" t="str">
        <f>IF(mtx_base_5!B19 = "","",mtx_base_5!B19)</f>
        <v/>
      </c>
      <c r="C250" s="114" t="str">
        <f>IF(mtx_base_5!C19 = "","",mtx_base_5!C19)</f>
        <v/>
      </c>
      <c r="D250" s="45" t="e">
        <f t="shared" ref="D250:D299" si="179">$B$245</f>
        <v>#DIV/0!</v>
      </c>
      <c r="E250" s="77" t="e">
        <f t="shared" ref="E250:E299" si="180">$C$245</f>
        <v>#DIV/0!</v>
      </c>
      <c r="F250" s="47" t="e">
        <f t="shared" ref="F250" si="181">IF(AND(B250&lt;D250,C250&lt;E250),"Blue",(IF(AND(B250&lt;D250,C250&gt;E250),"Red",(IF(AND(B250&gt;D250,C250&gt;E250),"Green",(IF(AND(B250&gt;D250,C250&lt;E250),"Yellow")))))))</f>
        <v>#DIV/0!</v>
      </c>
      <c r="G250" s="48" t="e">
        <f t="shared" ref="G250" si="182">B250-D250</f>
        <v>#VALUE!</v>
      </c>
      <c r="H250" s="48" t="e">
        <f t="shared" ref="H250" si="183">C250-E250</f>
        <v>#VALUE!</v>
      </c>
      <c r="I250" s="47" t="e">
        <f t="shared" ref="I250" si="184">IF((ABS(G250)&lt;$E$246),"TIE",F250)</f>
        <v>#VALUE!</v>
      </c>
      <c r="J250" s="47" t="e">
        <f t="shared" ref="J250" si="185">IF((ABS(H250)&lt;$F$246),"TIE",F250)</f>
        <v>#VALUE!</v>
      </c>
      <c r="K250" s="47" t="e">
        <f t="shared" ref="K250" si="186">IF(AND(I250&lt;&gt;"TIE",J250&lt;&gt;"TIE"),F250,"TIE")</f>
        <v>#VALUE!</v>
      </c>
      <c r="L250" s="49" t="e">
        <f t="shared" ref="L250" si="187">IF(AND(I250="TIE",C250&gt;E250),"Red/Green",(IF(AND(I250="TIE",C250&lt;E250),"Blue/Yellow",(IF(AND(B250&lt;D250,J250="TIE"),"Red/Blue",(IF(AND(B250&gt;D250,J250="TIE"),"Green/Yellow")))))))</f>
        <v>#VALUE!</v>
      </c>
      <c r="M250" s="50" t="e">
        <f t="shared" ref="M250" si="188">IF(AND(I250="TIE",J250="TIE"),"Four Way Tie",IF(L250=FALSE,K250,L250))</f>
        <v>#VALUE!</v>
      </c>
      <c r="N250" s="51" t="e">
        <f t="shared" ref="N250" si="189">M250</f>
        <v>#VALUE!</v>
      </c>
      <c r="O250" s="52" t="e">
        <f t="shared" ref="O250" si="190">N250</f>
        <v>#VALUE!</v>
      </c>
      <c r="P250" s="28"/>
    </row>
    <row r="251" spans="1:16" x14ac:dyDescent="0.45">
      <c r="A251" s="112">
        <f t="shared" ref="A251:A299" si="191">A10</f>
        <v>0</v>
      </c>
      <c r="B251" s="114" t="str">
        <f>IF(mtx_base_5!B20 = "","",mtx_base_5!B20)</f>
        <v/>
      </c>
      <c r="C251" s="114" t="str">
        <f>IF(mtx_base_5!C20 = "","",mtx_base_5!C20)</f>
        <v/>
      </c>
      <c r="D251" s="45" t="e">
        <f t="shared" si="179"/>
        <v>#DIV/0!</v>
      </c>
      <c r="E251" s="77" t="e">
        <f t="shared" si="180"/>
        <v>#DIV/0!</v>
      </c>
      <c r="F251" s="47" t="e">
        <f t="shared" ref="F251:F274" si="192">IF(AND(B251&lt;D251,C251&lt;E251),"Blue",(IF(AND(B251&lt;D251,C251&gt;E251),"Red",(IF(AND(B251&gt;D251,C251&gt;E251),"Green",(IF(AND(B251&gt;D251,C251&lt;E251),"Yellow")))))))</f>
        <v>#DIV/0!</v>
      </c>
      <c r="G251" s="48" t="e">
        <f t="shared" ref="G251:G274" si="193">B251-D251</f>
        <v>#VALUE!</v>
      </c>
      <c r="H251" s="48" t="e">
        <f t="shared" ref="H251:H274" si="194">C251-E251</f>
        <v>#VALUE!</v>
      </c>
      <c r="I251" s="47" t="e">
        <f t="shared" ref="I251:I274" si="195">IF((ABS(G251)&lt;$E$246),"TIE",F251)</f>
        <v>#VALUE!</v>
      </c>
      <c r="J251" s="47" t="e">
        <f t="shared" ref="J251:J274" si="196">IF((ABS(H251)&lt;$F$246),"TIE",F251)</f>
        <v>#VALUE!</v>
      </c>
      <c r="K251" s="47" t="e">
        <f t="shared" ref="K251:K274" si="197">IF(AND(I251&lt;&gt;"TIE",J251&lt;&gt;"TIE"),F251,"TIE")</f>
        <v>#VALUE!</v>
      </c>
      <c r="L251" s="49" t="e">
        <f t="shared" ref="L251:L274" si="198">IF(AND(I251="TIE",C251&gt;E251),"Red/Green",(IF(AND(I251="TIE",C251&lt;E251),"Blue/Yellow",(IF(AND(B251&lt;D251,J251="TIE"),"Red/Blue",(IF(AND(B251&gt;D251,J251="TIE"),"Green/Yellow")))))))</f>
        <v>#VALUE!</v>
      </c>
      <c r="M251" s="50" t="e">
        <f t="shared" ref="M251:M274" si="199">IF(AND(I251="TIE",J251="TIE"),"Four Way Tie",IF(L251=FALSE,K251,L251))</f>
        <v>#VALUE!</v>
      </c>
      <c r="N251" s="51" t="e">
        <f t="shared" ref="N251:N274" si="200">M251</f>
        <v>#VALUE!</v>
      </c>
      <c r="O251" s="52" t="e">
        <f t="shared" ref="O251:O274" si="201">N251</f>
        <v>#VALUE!</v>
      </c>
      <c r="P251" s="28"/>
    </row>
    <row r="252" spans="1:16" x14ac:dyDescent="0.45">
      <c r="A252" s="112">
        <f t="shared" si="191"/>
        <v>0</v>
      </c>
      <c r="B252" s="114" t="str">
        <f>IF(mtx_base_5!B21 = "","",mtx_base_5!B21)</f>
        <v/>
      </c>
      <c r="C252" s="114" t="str">
        <f>IF(mtx_base_5!C21 = "","",mtx_base_5!C21)</f>
        <v/>
      </c>
      <c r="D252" s="45" t="e">
        <f t="shared" si="179"/>
        <v>#DIV/0!</v>
      </c>
      <c r="E252" s="77" t="e">
        <f t="shared" si="180"/>
        <v>#DIV/0!</v>
      </c>
      <c r="F252" s="47" t="e">
        <f t="shared" si="192"/>
        <v>#DIV/0!</v>
      </c>
      <c r="G252" s="48" t="e">
        <f t="shared" si="193"/>
        <v>#VALUE!</v>
      </c>
      <c r="H252" s="48" t="e">
        <f t="shared" si="194"/>
        <v>#VALUE!</v>
      </c>
      <c r="I252" s="47" t="e">
        <f t="shared" si="195"/>
        <v>#VALUE!</v>
      </c>
      <c r="J252" s="47" t="e">
        <f t="shared" si="196"/>
        <v>#VALUE!</v>
      </c>
      <c r="K252" s="47" t="e">
        <f t="shared" si="197"/>
        <v>#VALUE!</v>
      </c>
      <c r="L252" s="49" t="e">
        <f t="shared" si="198"/>
        <v>#VALUE!</v>
      </c>
      <c r="M252" s="50" t="e">
        <f t="shared" si="199"/>
        <v>#VALUE!</v>
      </c>
      <c r="N252" s="51" t="e">
        <f t="shared" si="200"/>
        <v>#VALUE!</v>
      </c>
      <c r="O252" s="52" t="e">
        <f t="shared" si="201"/>
        <v>#VALUE!</v>
      </c>
      <c r="P252" s="28"/>
    </row>
    <row r="253" spans="1:16" x14ac:dyDescent="0.45">
      <c r="A253" s="112">
        <f t="shared" si="191"/>
        <v>0</v>
      </c>
      <c r="B253" s="114" t="str">
        <f>IF(mtx_base_5!B22 = "","",mtx_base_5!B22)</f>
        <v/>
      </c>
      <c r="C253" s="114" t="str">
        <f>IF(mtx_base_5!C22 = "","",mtx_base_5!C22)</f>
        <v/>
      </c>
      <c r="D253" s="45" t="e">
        <f t="shared" si="179"/>
        <v>#DIV/0!</v>
      </c>
      <c r="E253" s="77" t="e">
        <f t="shared" si="180"/>
        <v>#DIV/0!</v>
      </c>
      <c r="F253" s="47" t="e">
        <f t="shared" si="192"/>
        <v>#DIV/0!</v>
      </c>
      <c r="G253" s="48" t="e">
        <f t="shared" si="193"/>
        <v>#VALUE!</v>
      </c>
      <c r="H253" s="48" t="e">
        <f t="shared" si="194"/>
        <v>#VALUE!</v>
      </c>
      <c r="I253" s="47" t="e">
        <f t="shared" si="195"/>
        <v>#VALUE!</v>
      </c>
      <c r="J253" s="47" t="e">
        <f t="shared" si="196"/>
        <v>#VALUE!</v>
      </c>
      <c r="K253" s="47" t="e">
        <f t="shared" si="197"/>
        <v>#VALUE!</v>
      </c>
      <c r="L253" s="49" t="e">
        <f t="shared" si="198"/>
        <v>#VALUE!</v>
      </c>
      <c r="M253" s="50" t="e">
        <f t="shared" si="199"/>
        <v>#VALUE!</v>
      </c>
      <c r="N253" s="51" t="e">
        <f t="shared" si="200"/>
        <v>#VALUE!</v>
      </c>
      <c r="O253" s="52" t="e">
        <f t="shared" si="201"/>
        <v>#VALUE!</v>
      </c>
      <c r="P253" s="28"/>
    </row>
    <row r="254" spans="1:16" x14ac:dyDescent="0.45">
      <c r="A254" s="112">
        <f t="shared" si="191"/>
        <v>0</v>
      </c>
      <c r="B254" s="114" t="str">
        <f>IF(mtx_base_5!B23 = "","",mtx_base_5!B23)</f>
        <v/>
      </c>
      <c r="C254" s="114" t="str">
        <f>IF(mtx_base_5!C23 = "","",mtx_base_5!C23)</f>
        <v/>
      </c>
      <c r="D254" s="45" t="e">
        <f t="shared" si="179"/>
        <v>#DIV/0!</v>
      </c>
      <c r="E254" s="77" t="e">
        <f t="shared" si="180"/>
        <v>#DIV/0!</v>
      </c>
      <c r="F254" s="47" t="e">
        <f t="shared" si="192"/>
        <v>#DIV/0!</v>
      </c>
      <c r="G254" s="48" t="e">
        <f t="shared" si="193"/>
        <v>#VALUE!</v>
      </c>
      <c r="H254" s="48" t="e">
        <f t="shared" si="194"/>
        <v>#VALUE!</v>
      </c>
      <c r="I254" s="47" t="e">
        <f t="shared" si="195"/>
        <v>#VALUE!</v>
      </c>
      <c r="J254" s="47" t="e">
        <f t="shared" si="196"/>
        <v>#VALUE!</v>
      </c>
      <c r="K254" s="47" t="e">
        <f t="shared" si="197"/>
        <v>#VALUE!</v>
      </c>
      <c r="L254" s="49" t="e">
        <f t="shared" si="198"/>
        <v>#VALUE!</v>
      </c>
      <c r="M254" s="50" t="e">
        <f t="shared" si="199"/>
        <v>#VALUE!</v>
      </c>
      <c r="N254" s="51" t="e">
        <f t="shared" si="200"/>
        <v>#VALUE!</v>
      </c>
      <c r="O254" s="52" t="e">
        <f t="shared" si="201"/>
        <v>#VALUE!</v>
      </c>
      <c r="P254" s="28"/>
    </row>
    <row r="255" spans="1:16" x14ac:dyDescent="0.45">
      <c r="A255" s="112">
        <f t="shared" si="191"/>
        <v>0</v>
      </c>
      <c r="B255" s="114" t="str">
        <f>IF(mtx_base_5!B24 = "","",mtx_base_5!B24)</f>
        <v/>
      </c>
      <c r="C255" s="114" t="str">
        <f>IF(mtx_base_5!C24 = "","",mtx_base_5!C24)</f>
        <v/>
      </c>
      <c r="D255" s="45" t="e">
        <f t="shared" si="179"/>
        <v>#DIV/0!</v>
      </c>
      <c r="E255" s="77" t="e">
        <f t="shared" si="180"/>
        <v>#DIV/0!</v>
      </c>
      <c r="F255" s="47" t="e">
        <f t="shared" si="192"/>
        <v>#DIV/0!</v>
      </c>
      <c r="G255" s="48" t="e">
        <f t="shared" si="193"/>
        <v>#VALUE!</v>
      </c>
      <c r="H255" s="48" t="e">
        <f t="shared" si="194"/>
        <v>#VALUE!</v>
      </c>
      <c r="I255" s="47" t="e">
        <f t="shared" si="195"/>
        <v>#VALUE!</v>
      </c>
      <c r="J255" s="47" t="e">
        <f t="shared" si="196"/>
        <v>#VALUE!</v>
      </c>
      <c r="K255" s="47" t="e">
        <f t="shared" si="197"/>
        <v>#VALUE!</v>
      </c>
      <c r="L255" s="49" t="e">
        <f t="shared" si="198"/>
        <v>#VALUE!</v>
      </c>
      <c r="M255" s="50" t="e">
        <f t="shared" si="199"/>
        <v>#VALUE!</v>
      </c>
      <c r="N255" s="51" t="e">
        <f t="shared" si="200"/>
        <v>#VALUE!</v>
      </c>
      <c r="O255" s="52" t="e">
        <f t="shared" si="201"/>
        <v>#VALUE!</v>
      </c>
      <c r="P255" s="28"/>
    </row>
    <row r="256" spans="1:16" x14ac:dyDescent="0.45">
      <c r="A256" s="112">
        <f t="shared" si="191"/>
        <v>0</v>
      </c>
      <c r="B256" s="114" t="str">
        <f>IF(mtx_base_5!B25 = "","",mtx_base_5!B25)</f>
        <v/>
      </c>
      <c r="C256" s="114" t="str">
        <f>IF(mtx_base_5!C25 = "","",mtx_base_5!C25)</f>
        <v/>
      </c>
      <c r="D256" s="45" t="e">
        <f t="shared" si="179"/>
        <v>#DIV/0!</v>
      </c>
      <c r="E256" s="77" t="e">
        <f t="shared" si="180"/>
        <v>#DIV/0!</v>
      </c>
      <c r="F256" s="47" t="e">
        <f t="shared" si="192"/>
        <v>#DIV/0!</v>
      </c>
      <c r="G256" s="48" t="e">
        <f t="shared" si="193"/>
        <v>#VALUE!</v>
      </c>
      <c r="H256" s="48" t="e">
        <f t="shared" si="194"/>
        <v>#VALUE!</v>
      </c>
      <c r="I256" s="47" t="e">
        <f t="shared" si="195"/>
        <v>#VALUE!</v>
      </c>
      <c r="J256" s="47" t="e">
        <f t="shared" si="196"/>
        <v>#VALUE!</v>
      </c>
      <c r="K256" s="47" t="e">
        <f t="shared" si="197"/>
        <v>#VALUE!</v>
      </c>
      <c r="L256" s="49" t="e">
        <f t="shared" si="198"/>
        <v>#VALUE!</v>
      </c>
      <c r="M256" s="50" t="e">
        <f t="shared" si="199"/>
        <v>#VALUE!</v>
      </c>
      <c r="N256" s="51" t="e">
        <f t="shared" si="200"/>
        <v>#VALUE!</v>
      </c>
      <c r="O256" s="52" t="e">
        <f t="shared" si="201"/>
        <v>#VALUE!</v>
      </c>
      <c r="P256" s="28"/>
    </row>
    <row r="257" spans="1:16" x14ac:dyDescent="0.45">
      <c r="A257" s="112">
        <f t="shared" si="191"/>
        <v>0</v>
      </c>
      <c r="B257" s="114" t="str">
        <f>IF(mtx_base_5!B26 = "","",mtx_base_5!B26)</f>
        <v/>
      </c>
      <c r="C257" s="114" t="str">
        <f>IF(mtx_base_5!C26 = "","",mtx_base_5!C26)</f>
        <v/>
      </c>
      <c r="D257" s="45" t="e">
        <f t="shared" si="179"/>
        <v>#DIV/0!</v>
      </c>
      <c r="E257" s="77" t="e">
        <f t="shared" si="180"/>
        <v>#DIV/0!</v>
      </c>
      <c r="F257" s="47" t="e">
        <f t="shared" si="192"/>
        <v>#DIV/0!</v>
      </c>
      <c r="G257" s="48" t="e">
        <f t="shared" si="193"/>
        <v>#VALUE!</v>
      </c>
      <c r="H257" s="48" t="e">
        <f t="shared" si="194"/>
        <v>#VALUE!</v>
      </c>
      <c r="I257" s="47" t="e">
        <f t="shared" si="195"/>
        <v>#VALUE!</v>
      </c>
      <c r="J257" s="47" t="e">
        <f t="shared" si="196"/>
        <v>#VALUE!</v>
      </c>
      <c r="K257" s="47" t="e">
        <f t="shared" si="197"/>
        <v>#VALUE!</v>
      </c>
      <c r="L257" s="49" t="e">
        <f t="shared" si="198"/>
        <v>#VALUE!</v>
      </c>
      <c r="M257" s="50" t="e">
        <f t="shared" si="199"/>
        <v>#VALUE!</v>
      </c>
      <c r="N257" s="51" t="e">
        <f t="shared" si="200"/>
        <v>#VALUE!</v>
      </c>
      <c r="O257" s="52" t="e">
        <f t="shared" si="201"/>
        <v>#VALUE!</v>
      </c>
      <c r="P257" s="28"/>
    </row>
    <row r="258" spans="1:16" x14ac:dyDescent="0.45">
      <c r="A258" s="112">
        <f t="shared" si="191"/>
        <v>0</v>
      </c>
      <c r="B258" s="114" t="str">
        <f>IF(mtx_base_5!B27 = "","",mtx_base_5!B27)</f>
        <v/>
      </c>
      <c r="C258" s="114" t="str">
        <f>IF(mtx_base_5!C27 = "","",mtx_base_5!C27)</f>
        <v/>
      </c>
      <c r="D258" s="45" t="e">
        <f t="shared" si="179"/>
        <v>#DIV/0!</v>
      </c>
      <c r="E258" s="77" t="e">
        <f t="shared" si="180"/>
        <v>#DIV/0!</v>
      </c>
      <c r="F258" s="47" t="e">
        <f t="shared" si="192"/>
        <v>#DIV/0!</v>
      </c>
      <c r="G258" s="48" t="e">
        <f t="shared" si="193"/>
        <v>#VALUE!</v>
      </c>
      <c r="H258" s="48" t="e">
        <f t="shared" si="194"/>
        <v>#VALUE!</v>
      </c>
      <c r="I258" s="47" t="e">
        <f t="shared" si="195"/>
        <v>#VALUE!</v>
      </c>
      <c r="J258" s="47" t="e">
        <f t="shared" si="196"/>
        <v>#VALUE!</v>
      </c>
      <c r="K258" s="47" t="e">
        <f t="shared" si="197"/>
        <v>#VALUE!</v>
      </c>
      <c r="L258" s="49" t="e">
        <f t="shared" si="198"/>
        <v>#VALUE!</v>
      </c>
      <c r="M258" s="50" t="e">
        <f t="shared" si="199"/>
        <v>#VALUE!</v>
      </c>
      <c r="N258" s="51" t="e">
        <f t="shared" si="200"/>
        <v>#VALUE!</v>
      </c>
      <c r="O258" s="52" t="e">
        <f t="shared" si="201"/>
        <v>#VALUE!</v>
      </c>
      <c r="P258" s="28"/>
    </row>
    <row r="259" spans="1:16" x14ac:dyDescent="0.45">
      <c r="A259" s="112">
        <f t="shared" si="191"/>
        <v>0</v>
      </c>
      <c r="B259" s="114" t="str">
        <f>IF(mtx_base_5!B28 = "","",mtx_base_5!B28)</f>
        <v/>
      </c>
      <c r="C259" s="114" t="str">
        <f>IF(mtx_base_5!C28 = "","",mtx_base_5!C28)</f>
        <v/>
      </c>
      <c r="D259" s="45" t="e">
        <f t="shared" si="179"/>
        <v>#DIV/0!</v>
      </c>
      <c r="E259" s="77" t="e">
        <f t="shared" si="180"/>
        <v>#DIV/0!</v>
      </c>
      <c r="F259" s="47" t="e">
        <f t="shared" si="192"/>
        <v>#DIV/0!</v>
      </c>
      <c r="G259" s="48" t="e">
        <f t="shared" si="193"/>
        <v>#VALUE!</v>
      </c>
      <c r="H259" s="48" t="e">
        <f t="shared" si="194"/>
        <v>#VALUE!</v>
      </c>
      <c r="I259" s="47" t="e">
        <f t="shared" si="195"/>
        <v>#VALUE!</v>
      </c>
      <c r="J259" s="47" t="e">
        <f t="shared" si="196"/>
        <v>#VALUE!</v>
      </c>
      <c r="K259" s="47" t="e">
        <f t="shared" si="197"/>
        <v>#VALUE!</v>
      </c>
      <c r="L259" s="49" t="e">
        <f t="shared" si="198"/>
        <v>#VALUE!</v>
      </c>
      <c r="M259" s="50" t="e">
        <f t="shared" si="199"/>
        <v>#VALUE!</v>
      </c>
      <c r="N259" s="51" t="e">
        <f t="shared" si="200"/>
        <v>#VALUE!</v>
      </c>
      <c r="O259" s="52" t="e">
        <f t="shared" si="201"/>
        <v>#VALUE!</v>
      </c>
      <c r="P259" s="28"/>
    </row>
    <row r="260" spans="1:16" x14ac:dyDescent="0.45">
      <c r="A260" s="112">
        <f t="shared" si="191"/>
        <v>0</v>
      </c>
      <c r="B260" s="114" t="str">
        <f>IF(mtx_base_5!B29 = "","",mtx_base_5!B29)</f>
        <v/>
      </c>
      <c r="C260" s="114" t="str">
        <f>IF(mtx_base_5!C29 = "","",mtx_base_5!C29)</f>
        <v/>
      </c>
      <c r="D260" s="45" t="e">
        <f t="shared" si="179"/>
        <v>#DIV/0!</v>
      </c>
      <c r="E260" s="77" t="e">
        <f t="shared" si="180"/>
        <v>#DIV/0!</v>
      </c>
      <c r="F260" s="47" t="e">
        <f t="shared" si="192"/>
        <v>#DIV/0!</v>
      </c>
      <c r="G260" s="48" t="e">
        <f t="shared" si="193"/>
        <v>#VALUE!</v>
      </c>
      <c r="H260" s="48" t="e">
        <f t="shared" si="194"/>
        <v>#VALUE!</v>
      </c>
      <c r="I260" s="47" t="e">
        <f t="shared" si="195"/>
        <v>#VALUE!</v>
      </c>
      <c r="J260" s="47" t="e">
        <f t="shared" si="196"/>
        <v>#VALUE!</v>
      </c>
      <c r="K260" s="47" t="e">
        <f t="shared" si="197"/>
        <v>#VALUE!</v>
      </c>
      <c r="L260" s="49" t="e">
        <f t="shared" si="198"/>
        <v>#VALUE!</v>
      </c>
      <c r="M260" s="50" t="e">
        <f t="shared" si="199"/>
        <v>#VALUE!</v>
      </c>
      <c r="N260" s="51" t="e">
        <f t="shared" si="200"/>
        <v>#VALUE!</v>
      </c>
      <c r="O260" s="52" t="e">
        <f t="shared" si="201"/>
        <v>#VALUE!</v>
      </c>
      <c r="P260" s="28"/>
    </row>
    <row r="261" spans="1:16" x14ac:dyDescent="0.45">
      <c r="A261" s="112">
        <f t="shared" si="191"/>
        <v>0</v>
      </c>
      <c r="B261" s="114" t="str">
        <f>IF(mtx_base_5!B30 = "","",mtx_base_5!B30)</f>
        <v/>
      </c>
      <c r="C261" s="114" t="str">
        <f>IF(mtx_base_5!C30 = "","",mtx_base_5!C30)</f>
        <v/>
      </c>
      <c r="D261" s="45" t="e">
        <f t="shared" si="179"/>
        <v>#DIV/0!</v>
      </c>
      <c r="E261" s="77" t="e">
        <f t="shared" si="180"/>
        <v>#DIV/0!</v>
      </c>
      <c r="F261" s="47" t="e">
        <f t="shared" si="192"/>
        <v>#DIV/0!</v>
      </c>
      <c r="G261" s="48" t="e">
        <f t="shared" si="193"/>
        <v>#VALUE!</v>
      </c>
      <c r="H261" s="48" t="e">
        <f t="shared" si="194"/>
        <v>#VALUE!</v>
      </c>
      <c r="I261" s="47" t="e">
        <f t="shared" si="195"/>
        <v>#VALUE!</v>
      </c>
      <c r="J261" s="47" t="e">
        <f t="shared" si="196"/>
        <v>#VALUE!</v>
      </c>
      <c r="K261" s="47" t="e">
        <f t="shared" si="197"/>
        <v>#VALUE!</v>
      </c>
      <c r="L261" s="49" t="e">
        <f t="shared" si="198"/>
        <v>#VALUE!</v>
      </c>
      <c r="M261" s="50" t="e">
        <f t="shared" si="199"/>
        <v>#VALUE!</v>
      </c>
      <c r="N261" s="51" t="e">
        <f t="shared" si="200"/>
        <v>#VALUE!</v>
      </c>
      <c r="O261" s="52" t="e">
        <f t="shared" si="201"/>
        <v>#VALUE!</v>
      </c>
      <c r="P261" s="28"/>
    </row>
    <row r="262" spans="1:16" x14ac:dyDescent="0.45">
      <c r="A262" s="112">
        <f t="shared" si="191"/>
        <v>0</v>
      </c>
      <c r="B262" s="114" t="str">
        <f>IF(mtx_base_5!B31 = "","",mtx_base_5!B31)</f>
        <v/>
      </c>
      <c r="C262" s="114" t="str">
        <f>IF(mtx_base_5!C31 = "","",mtx_base_5!C31)</f>
        <v/>
      </c>
      <c r="D262" s="45" t="e">
        <f t="shared" si="179"/>
        <v>#DIV/0!</v>
      </c>
      <c r="E262" s="77" t="e">
        <f t="shared" si="180"/>
        <v>#DIV/0!</v>
      </c>
      <c r="F262" s="47" t="e">
        <f t="shared" si="192"/>
        <v>#DIV/0!</v>
      </c>
      <c r="G262" s="48" t="e">
        <f t="shared" si="193"/>
        <v>#VALUE!</v>
      </c>
      <c r="H262" s="48" t="e">
        <f t="shared" si="194"/>
        <v>#VALUE!</v>
      </c>
      <c r="I262" s="47" t="e">
        <f t="shared" si="195"/>
        <v>#VALUE!</v>
      </c>
      <c r="J262" s="47" t="e">
        <f t="shared" si="196"/>
        <v>#VALUE!</v>
      </c>
      <c r="K262" s="47" t="e">
        <f t="shared" si="197"/>
        <v>#VALUE!</v>
      </c>
      <c r="L262" s="49" t="e">
        <f t="shared" si="198"/>
        <v>#VALUE!</v>
      </c>
      <c r="M262" s="50" t="e">
        <f t="shared" si="199"/>
        <v>#VALUE!</v>
      </c>
      <c r="N262" s="51" t="e">
        <f t="shared" si="200"/>
        <v>#VALUE!</v>
      </c>
      <c r="O262" s="52" t="e">
        <f t="shared" si="201"/>
        <v>#VALUE!</v>
      </c>
      <c r="P262" s="28"/>
    </row>
    <row r="263" spans="1:16" x14ac:dyDescent="0.45">
      <c r="A263" s="112">
        <f t="shared" si="191"/>
        <v>0</v>
      </c>
      <c r="B263" s="114" t="str">
        <f>IF(mtx_base_5!B32 = "","",mtx_base_5!B32)</f>
        <v/>
      </c>
      <c r="C263" s="114" t="str">
        <f>IF(mtx_base_5!C32 = "","",mtx_base_5!C32)</f>
        <v/>
      </c>
      <c r="D263" s="45" t="e">
        <f t="shared" si="179"/>
        <v>#DIV/0!</v>
      </c>
      <c r="E263" s="77" t="e">
        <f t="shared" si="180"/>
        <v>#DIV/0!</v>
      </c>
      <c r="F263" s="47" t="e">
        <f t="shared" si="192"/>
        <v>#DIV/0!</v>
      </c>
      <c r="G263" s="48" t="e">
        <f t="shared" si="193"/>
        <v>#VALUE!</v>
      </c>
      <c r="H263" s="48" t="e">
        <f t="shared" si="194"/>
        <v>#VALUE!</v>
      </c>
      <c r="I263" s="47" t="e">
        <f t="shared" si="195"/>
        <v>#VALUE!</v>
      </c>
      <c r="J263" s="47" t="e">
        <f t="shared" si="196"/>
        <v>#VALUE!</v>
      </c>
      <c r="K263" s="47" t="e">
        <f t="shared" si="197"/>
        <v>#VALUE!</v>
      </c>
      <c r="L263" s="49" t="e">
        <f t="shared" si="198"/>
        <v>#VALUE!</v>
      </c>
      <c r="M263" s="50" t="e">
        <f t="shared" si="199"/>
        <v>#VALUE!</v>
      </c>
      <c r="N263" s="51" t="e">
        <f t="shared" si="200"/>
        <v>#VALUE!</v>
      </c>
      <c r="O263" s="52" t="e">
        <f t="shared" si="201"/>
        <v>#VALUE!</v>
      </c>
      <c r="P263" s="28"/>
    </row>
    <row r="264" spans="1:16" x14ac:dyDescent="0.45">
      <c r="A264" s="112">
        <f t="shared" si="191"/>
        <v>0</v>
      </c>
      <c r="B264" s="114" t="str">
        <f>IF(mtx_base_5!B33 = "","",mtx_base_5!B33)</f>
        <v/>
      </c>
      <c r="C264" s="114" t="str">
        <f>IF(mtx_base_5!C33 = "","",mtx_base_5!C33)</f>
        <v/>
      </c>
      <c r="D264" s="45" t="e">
        <f t="shared" si="179"/>
        <v>#DIV/0!</v>
      </c>
      <c r="E264" s="77" t="e">
        <f t="shared" si="180"/>
        <v>#DIV/0!</v>
      </c>
      <c r="F264" s="47" t="e">
        <f t="shared" si="192"/>
        <v>#DIV/0!</v>
      </c>
      <c r="G264" s="48" t="e">
        <f t="shared" si="193"/>
        <v>#VALUE!</v>
      </c>
      <c r="H264" s="48" t="e">
        <f t="shared" si="194"/>
        <v>#VALUE!</v>
      </c>
      <c r="I264" s="47" t="e">
        <f t="shared" si="195"/>
        <v>#VALUE!</v>
      </c>
      <c r="J264" s="47" t="e">
        <f t="shared" si="196"/>
        <v>#VALUE!</v>
      </c>
      <c r="K264" s="47" t="e">
        <f t="shared" si="197"/>
        <v>#VALUE!</v>
      </c>
      <c r="L264" s="49" t="e">
        <f t="shared" si="198"/>
        <v>#VALUE!</v>
      </c>
      <c r="M264" s="50" t="e">
        <f t="shared" si="199"/>
        <v>#VALUE!</v>
      </c>
      <c r="N264" s="51" t="e">
        <f t="shared" si="200"/>
        <v>#VALUE!</v>
      </c>
      <c r="O264" s="52" t="e">
        <f t="shared" si="201"/>
        <v>#VALUE!</v>
      </c>
      <c r="P264" s="28"/>
    </row>
    <row r="265" spans="1:16" x14ac:dyDescent="0.45">
      <c r="A265" s="112">
        <f t="shared" si="191"/>
        <v>0</v>
      </c>
      <c r="B265" s="114" t="str">
        <f>IF(mtx_base_5!B34 = "","",mtx_base_5!B34)</f>
        <v/>
      </c>
      <c r="C265" s="114" t="str">
        <f>IF(mtx_base_5!C34 = "","",mtx_base_5!C34)</f>
        <v/>
      </c>
      <c r="D265" s="45" t="e">
        <f t="shared" si="179"/>
        <v>#DIV/0!</v>
      </c>
      <c r="E265" s="77" t="e">
        <f t="shared" si="180"/>
        <v>#DIV/0!</v>
      </c>
      <c r="F265" s="47" t="e">
        <f t="shared" si="192"/>
        <v>#DIV/0!</v>
      </c>
      <c r="G265" s="48" t="e">
        <f t="shared" si="193"/>
        <v>#VALUE!</v>
      </c>
      <c r="H265" s="48" t="e">
        <f t="shared" si="194"/>
        <v>#VALUE!</v>
      </c>
      <c r="I265" s="47" t="e">
        <f t="shared" si="195"/>
        <v>#VALUE!</v>
      </c>
      <c r="J265" s="47" t="e">
        <f t="shared" si="196"/>
        <v>#VALUE!</v>
      </c>
      <c r="K265" s="47" t="e">
        <f t="shared" si="197"/>
        <v>#VALUE!</v>
      </c>
      <c r="L265" s="49" t="e">
        <f t="shared" si="198"/>
        <v>#VALUE!</v>
      </c>
      <c r="M265" s="50" t="e">
        <f t="shared" si="199"/>
        <v>#VALUE!</v>
      </c>
      <c r="N265" s="51" t="e">
        <f t="shared" si="200"/>
        <v>#VALUE!</v>
      </c>
      <c r="O265" s="52" t="e">
        <f t="shared" si="201"/>
        <v>#VALUE!</v>
      </c>
      <c r="P265" s="28"/>
    </row>
    <row r="266" spans="1:16" x14ac:dyDescent="0.45">
      <c r="A266" s="112">
        <f t="shared" si="191"/>
        <v>0</v>
      </c>
      <c r="B266" s="114" t="str">
        <f>IF(mtx_base_5!B35 = "","",mtx_base_5!B35)</f>
        <v/>
      </c>
      <c r="C266" s="114" t="str">
        <f>IF(mtx_base_5!C35 = "","",mtx_base_5!C35)</f>
        <v/>
      </c>
      <c r="D266" s="45" t="e">
        <f t="shared" si="179"/>
        <v>#DIV/0!</v>
      </c>
      <c r="E266" s="77" t="e">
        <f t="shared" si="180"/>
        <v>#DIV/0!</v>
      </c>
      <c r="F266" s="47" t="e">
        <f t="shared" si="192"/>
        <v>#DIV/0!</v>
      </c>
      <c r="G266" s="48" t="e">
        <f t="shared" si="193"/>
        <v>#VALUE!</v>
      </c>
      <c r="H266" s="48" t="e">
        <f t="shared" si="194"/>
        <v>#VALUE!</v>
      </c>
      <c r="I266" s="47" t="e">
        <f t="shared" si="195"/>
        <v>#VALUE!</v>
      </c>
      <c r="J266" s="47" t="e">
        <f t="shared" si="196"/>
        <v>#VALUE!</v>
      </c>
      <c r="K266" s="47" t="e">
        <f t="shared" si="197"/>
        <v>#VALUE!</v>
      </c>
      <c r="L266" s="49" t="e">
        <f t="shared" si="198"/>
        <v>#VALUE!</v>
      </c>
      <c r="M266" s="50" t="e">
        <f t="shared" si="199"/>
        <v>#VALUE!</v>
      </c>
      <c r="N266" s="51" t="e">
        <f t="shared" si="200"/>
        <v>#VALUE!</v>
      </c>
      <c r="O266" s="52" t="e">
        <f t="shared" si="201"/>
        <v>#VALUE!</v>
      </c>
      <c r="P266" s="28"/>
    </row>
    <row r="267" spans="1:16" x14ac:dyDescent="0.45">
      <c r="A267" s="112">
        <f t="shared" si="191"/>
        <v>0</v>
      </c>
      <c r="B267" s="114" t="str">
        <f>IF(mtx_base_5!B36 = "","",mtx_base_5!B36)</f>
        <v/>
      </c>
      <c r="C267" s="114" t="str">
        <f>IF(mtx_base_5!C36 = "","",mtx_base_5!C36)</f>
        <v/>
      </c>
      <c r="D267" s="45" t="e">
        <f t="shared" si="179"/>
        <v>#DIV/0!</v>
      </c>
      <c r="E267" s="77" t="e">
        <f t="shared" si="180"/>
        <v>#DIV/0!</v>
      </c>
      <c r="F267" s="47" t="e">
        <f t="shared" si="192"/>
        <v>#DIV/0!</v>
      </c>
      <c r="G267" s="48" t="e">
        <f t="shared" si="193"/>
        <v>#VALUE!</v>
      </c>
      <c r="H267" s="48" t="e">
        <f t="shared" si="194"/>
        <v>#VALUE!</v>
      </c>
      <c r="I267" s="47" t="e">
        <f t="shared" si="195"/>
        <v>#VALUE!</v>
      </c>
      <c r="J267" s="47" t="e">
        <f t="shared" si="196"/>
        <v>#VALUE!</v>
      </c>
      <c r="K267" s="47" t="e">
        <f t="shared" si="197"/>
        <v>#VALUE!</v>
      </c>
      <c r="L267" s="49" t="e">
        <f t="shared" si="198"/>
        <v>#VALUE!</v>
      </c>
      <c r="M267" s="50" t="e">
        <f t="shared" si="199"/>
        <v>#VALUE!</v>
      </c>
      <c r="N267" s="51" t="e">
        <f t="shared" si="200"/>
        <v>#VALUE!</v>
      </c>
      <c r="O267" s="52" t="e">
        <f t="shared" si="201"/>
        <v>#VALUE!</v>
      </c>
      <c r="P267" s="28"/>
    </row>
    <row r="268" spans="1:16" x14ac:dyDescent="0.45">
      <c r="A268" s="112">
        <f t="shared" si="191"/>
        <v>0</v>
      </c>
      <c r="B268" s="114" t="str">
        <f>IF(mtx_base_5!B37 = "","",mtx_base_5!B37)</f>
        <v/>
      </c>
      <c r="C268" s="114" t="str">
        <f>IF(mtx_base_5!C37 = "","",mtx_base_5!C37)</f>
        <v/>
      </c>
      <c r="D268" s="45" t="e">
        <f t="shared" si="179"/>
        <v>#DIV/0!</v>
      </c>
      <c r="E268" s="77" t="e">
        <f t="shared" si="180"/>
        <v>#DIV/0!</v>
      </c>
      <c r="F268" s="47" t="e">
        <f t="shared" si="192"/>
        <v>#DIV/0!</v>
      </c>
      <c r="G268" s="48" t="e">
        <f t="shared" si="193"/>
        <v>#VALUE!</v>
      </c>
      <c r="H268" s="48" t="e">
        <f t="shared" si="194"/>
        <v>#VALUE!</v>
      </c>
      <c r="I268" s="47" t="e">
        <f t="shared" si="195"/>
        <v>#VALUE!</v>
      </c>
      <c r="J268" s="47" t="e">
        <f t="shared" si="196"/>
        <v>#VALUE!</v>
      </c>
      <c r="K268" s="47" t="e">
        <f t="shared" si="197"/>
        <v>#VALUE!</v>
      </c>
      <c r="L268" s="49" t="e">
        <f t="shared" si="198"/>
        <v>#VALUE!</v>
      </c>
      <c r="M268" s="50" t="e">
        <f t="shared" si="199"/>
        <v>#VALUE!</v>
      </c>
      <c r="N268" s="51" t="e">
        <f t="shared" si="200"/>
        <v>#VALUE!</v>
      </c>
      <c r="O268" s="52" t="e">
        <f t="shared" si="201"/>
        <v>#VALUE!</v>
      </c>
      <c r="P268" s="28"/>
    </row>
    <row r="269" spans="1:16" x14ac:dyDescent="0.45">
      <c r="A269" s="112">
        <f t="shared" si="191"/>
        <v>0</v>
      </c>
      <c r="B269" s="114" t="str">
        <f>IF(mtx_base_5!B38 = "","",mtx_base_5!B38)</f>
        <v/>
      </c>
      <c r="C269" s="114" t="str">
        <f>IF(mtx_base_5!C38 = "","",mtx_base_5!C38)</f>
        <v/>
      </c>
      <c r="D269" s="45" t="e">
        <f t="shared" si="179"/>
        <v>#DIV/0!</v>
      </c>
      <c r="E269" s="77" t="e">
        <f t="shared" si="180"/>
        <v>#DIV/0!</v>
      </c>
      <c r="F269" s="47" t="e">
        <f t="shared" si="192"/>
        <v>#DIV/0!</v>
      </c>
      <c r="G269" s="48" t="e">
        <f t="shared" si="193"/>
        <v>#VALUE!</v>
      </c>
      <c r="H269" s="48" t="e">
        <f t="shared" si="194"/>
        <v>#VALUE!</v>
      </c>
      <c r="I269" s="47" t="e">
        <f t="shared" si="195"/>
        <v>#VALUE!</v>
      </c>
      <c r="J269" s="47" t="e">
        <f t="shared" si="196"/>
        <v>#VALUE!</v>
      </c>
      <c r="K269" s="47" t="e">
        <f t="shared" si="197"/>
        <v>#VALUE!</v>
      </c>
      <c r="L269" s="49" t="e">
        <f t="shared" si="198"/>
        <v>#VALUE!</v>
      </c>
      <c r="M269" s="50" t="e">
        <f t="shared" si="199"/>
        <v>#VALUE!</v>
      </c>
      <c r="N269" s="51" t="e">
        <f t="shared" si="200"/>
        <v>#VALUE!</v>
      </c>
      <c r="O269" s="52" t="e">
        <f t="shared" si="201"/>
        <v>#VALUE!</v>
      </c>
      <c r="P269" s="28"/>
    </row>
    <row r="270" spans="1:16" x14ac:dyDescent="0.45">
      <c r="A270" s="112">
        <f t="shared" si="191"/>
        <v>0</v>
      </c>
      <c r="B270" s="114" t="str">
        <f>IF(mtx_base_5!B39 = "","",mtx_base_5!B39)</f>
        <v/>
      </c>
      <c r="C270" s="114" t="str">
        <f>IF(mtx_base_5!C39 = "","",mtx_base_5!C39)</f>
        <v/>
      </c>
      <c r="D270" s="45" t="e">
        <f t="shared" si="179"/>
        <v>#DIV/0!</v>
      </c>
      <c r="E270" s="77" t="e">
        <f t="shared" si="180"/>
        <v>#DIV/0!</v>
      </c>
      <c r="F270" s="47" t="e">
        <f t="shared" si="192"/>
        <v>#DIV/0!</v>
      </c>
      <c r="G270" s="48" t="e">
        <f t="shared" si="193"/>
        <v>#VALUE!</v>
      </c>
      <c r="H270" s="48" t="e">
        <f t="shared" si="194"/>
        <v>#VALUE!</v>
      </c>
      <c r="I270" s="47" t="e">
        <f t="shared" si="195"/>
        <v>#VALUE!</v>
      </c>
      <c r="J270" s="47" t="e">
        <f t="shared" si="196"/>
        <v>#VALUE!</v>
      </c>
      <c r="K270" s="47" t="e">
        <f t="shared" si="197"/>
        <v>#VALUE!</v>
      </c>
      <c r="L270" s="49" t="e">
        <f t="shared" si="198"/>
        <v>#VALUE!</v>
      </c>
      <c r="M270" s="50" t="e">
        <f t="shared" si="199"/>
        <v>#VALUE!</v>
      </c>
      <c r="N270" s="51" t="e">
        <f t="shared" si="200"/>
        <v>#VALUE!</v>
      </c>
      <c r="O270" s="52" t="e">
        <f t="shared" si="201"/>
        <v>#VALUE!</v>
      </c>
      <c r="P270" s="28"/>
    </row>
    <row r="271" spans="1:16" x14ac:dyDescent="0.45">
      <c r="A271" s="112">
        <f t="shared" si="191"/>
        <v>0</v>
      </c>
      <c r="B271" s="114" t="str">
        <f>IF(mtx_base_5!B40 = "","",mtx_base_5!B40)</f>
        <v/>
      </c>
      <c r="C271" s="114" t="str">
        <f>IF(mtx_base_5!C40 = "","",mtx_base_5!C40)</f>
        <v/>
      </c>
      <c r="D271" s="45" t="e">
        <f t="shared" si="179"/>
        <v>#DIV/0!</v>
      </c>
      <c r="E271" s="77" t="e">
        <f t="shared" si="180"/>
        <v>#DIV/0!</v>
      </c>
      <c r="F271" s="47" t="e">
        <f t="shared" si="192"/>
        <v>#DIV/0!</v>
      </c>
      <c r="G271" s="48" t="e">
        <f t="shared" si="193"/>
        <v>#VALUE!</v>
      </c>
      <c r="H271" s="48" t="e">
        <f t="shared" si="194"/>
        <v>#VALUE!</v>
      </c>
      <c r="I271" s="47" t="e">
        <f t="shared" si="195"/>
        <v>#VALUE!</v>
      </c>
      <c r="J271" s="47" t="e">
        <f t="shared" si="196"/>
        <v>#VALUE!</v>
      </c>
      <c r="K271" s="47" t="e">
        <f t="shared" si="197"/>
        <v>#VALUE!</v>
      </c>
      <c r="L271" s="49" t="e">
        <f t="shared" si="198"/>
        <v>#VALUE!</v>
      </c>
      <c r="M271" s="50" t="e">
        <f t="shared" si="199"/>
        <v>#VALUE!</v>
      </c>
      <c r="N271" s="51" t="e">
        <f t="shared" si="200"/>
        <v>#VALUE!</v>
      </c>
      <c r="O271" s="52" t="e">
        <f t="shared" si="201"/>
        <v>#VALUE!</v>
      </c>
      <c r="P271" s="28"/>
    </row>
    <row r="272" spans="1:16" x14ac:dyDescent="0.45">
      <c r="A272" s="112">
        <f t="shared" si="191"/>
        <v>0</v>
      </c>
      <c r="B272" s="114" t="str">
        <f>IF(mtx_base_5!B41 = "","",mtx_base_5!B41)</f>
        <v/>
      </c>
      <c r="C272" s="114" t="str">
        <f>IF(mtx_base_5!C41 = "","",mtx_base_5!C41)</f>
        <v/>
      </c>
      <c r="D272" s="45" t="e">
        <f t="shared" si="179"/>
        <v>#DIV/0!</v>
      </c>
      <c r="E272" s="77" t="e">
        <f t="shared" si="180"/>
        <v>#DIV/0!</v>
      </c>
      <c r="F272" s="47" t="e">
        <f t="shared" si="192"/>
        <v>#DIV/0!</v>
      </c>
      <c r="G272" s="48" t="e">
        <f t="shared" si="193"/>
        <v>#VALUE!</v>
      </c>
      <c r="H272" s="48" t="e">
        <f t="shared" si="194"/>
        <v>#VALUE!</v>
      </c>
      <c r="I272" s="47" t="e">
        <f t="shared" si="195"/>
        <v>#VALUE!</v>
      </c>
      <c r="J272" s="47" t="e">
        <f t="shared" si="196"/>
        <v>#VALUE!</v>
      </c>
      <c r="K272" s="47" t="e">
        <f t="shared" si="197"/>
        <v>#VALUE!</v>
      </c>
      <c r="L272" s="49" t="e">
        <f t="shared" si="198"/>
        <v>#VALUE!</v>
      </c>
      <c r="M272" s="50" t="e">
        <f t="shared" si="199"/>
        <v>#VALUE!</v>
      </c>
      <c r="N272" s="51" t="e">
        <f t="shared" si="200"/>
        <v>#VALUE!</v>
      </c>
      <c r="O272" s="52" t="e">
        <f t="shared" si="201"/>
        <v>#VALUE!</v>
      </c>
      <c r="P272" s="28"/>
    </row>
    <row r="273" spans="1:16" x14ac:dyDescent="0.45">
      <c r="A273" s="112">
        <f t="shared" si="191"/>
        <v>0</v>
      </c>
      <c r="B273" s="114" t="str">
        <f>IF(mtx_base_5!B42 = "","",mtx_base_5!B42)</f>
        <v/>
      </c>
      <c r="C273" s="114" t="str">
        <f>IF(mtx_base_5!C42 = "","",mtx_base_5!C42)</f>
        <v/>
      </c>
      <c r="D273" s="45" t="e">
        <f t="shared" si="179"/>
        <v>#DIV/0!</v>
      </c>
      <c r="E273" s="77" t="e">
        <f t="shared" si="180"/>
        <v>#DIV/0!</v>
      </c>
      <c r="F273" s="47" t="e">
        <f t="shared" si="192"/>
        <v>#DIV/0!</v>
      </c>
      <c r="G273" s="48" t="e">
        <f t="shared" si="193"/>
        <v>#VALUE!</v>
      </c>
      <c r="H273" s="48" t="e">
        <f t="shared" si="194"/>
        <v>#VALUE!</v>
      </c>
      <c r="I273" s="47" t="e">
        <f t="shared" si="195"/>
        <v>#VALUE!</v>
      </c>
      <c r="J273" s="47" t="e">
        <f t="shared" si="196"/>
        <v>#VALUE!</v>
      </c>
      <c r="K273" s="47" t="e">
        <f t="shared" si="197"/>
        <v>#VALUE!</v>
      </c>
      <c r="L273" s="49" t="e">
        <f t="shared" si="198"/>
        <v>#VALUE!</v>
      </c>
      <c r="M273" s="50" t="e">
        <f t="shared" si="199"/>
        <v>#VALUE!</v>
      </c>
      <c r="N273" s="51" t="e">
        <f t="shared" si="200"/>
        <v>#VALUE!</v>
      </c>
      <c r="O273" s="52" t="e">
        <f t="shared" si="201"/>
        <v>#VALUE!</v>
      </c>
      <c r="P273" s="28"/>
    </row>
    <row r="274" spans="1:16" x14ac:dyDescent="0.45">
      <c r="A274" s="112">
        <f t="shared" si="191"/>
        <v>0</v>
      </c>
      <c r="B274" s="114" t="str">
        <f>IF(mtx_base_5!B43 = "","",mtx_base_5!B43)</f>
        <v/>
      </c>
      <c r="C274" s="114" t="str">
        <f>IF(mtx_base_5!C43 = "","",mtx_base_5!C43)</f>
        <v/>
      </c>
      <c r="D274" s="45" t="e">
        <f t="shared" si="179"/>
        <v>#DIV/0!</v>
      </c>
      <c r="E274" s="77" t="e">
        <f t="shared" si="180"/>
        <v>#DIV/0!</v>
      </c>
      <c r="F274" s="47" t="e">
        <f t="shared" si="192"/>
        <v>#DIV/0!</v>
      </c>
      <c r="G274" s="48" t="e">
        <f t="shared" si="193"/>
        <v>#VALUE!</v>
      </c>
      <c r="H274" s="48" t="e">
        <f t="shared" si="194"/>
        <v>#VALUE!</v>
      </c>
      <c r="I274" s="47" t="e">
        <f t="shared" si="195"/>
        <v>#VALUE!</v>
      </c>
      <c r="J274" s="47" t="e">
        <f t="shared" si="196"/>
        <v>#VALUE!</v>
      </c>
      <c r="K274" s="47" t="e">
        <f t="shared" si="197"/>
        <v>#VALUE!</v>
      </c>
      <c r="L274" s="49" t="e">
        <f t="shared" si="198"/>
        <v>#VALUE!</v>
      </c>
      <c r="M274" s="50" t="e">
        <f t="shared" si="199"/>
        <v>#VALUE!</v>
      </c>
      <c r="N274" s="51" t="e">
        <f t="shared" si="200"/>
        <v>#VALUE!</v>
      </c>
      <c r="O274" s="52" t="e">
        <f t="shared" si="201"/>
        <v>#VALUE!</v>
      </c>
      <c r="P274" s="28"/>
    </row>
    <row r="275" spans="1:16" x14ac:dyDescent="0.45">
      <c r="A275" s="112">
        <f t="shared" si="191"/>
        <v>0</v>
      </c>
      <c r="B275" s="114" t="str">
        <f>IF(mtx_base_5!B44 = "","",mtx_base_5!B44)</f>
        <v/>
      </c>
      <c r="C275" s="114" t="str">
        <f>IF(mtx_base_5!C44 = "","",mtx_base_5!C44)</f>
        <v/>
      </c>
      <c r="D275" s="45" t="e">
        <f t="shared" si="179"/>
        <v>#DIV/0!</v>
      </c>
      <c r="E275" s="77" t="e">
        <f t="shared" si="180"/>
        <v>#DIV/0!</v>
      </c>
      <c r="F275" s="47" t="e">
        <f t="shared" ref="F275:F299" si="202">IF(AND(B275&lt;D275,C275&lt;E275),"Blue",(IF(AND(B275&lt;D275,C275&gt;E275),"Red",(IF(AND(B275&gt;D275,C275&gt;E275),"Green",(IF(AND(B275&gt;D275,C275&lt;E275),"Yellow")))))))</f>
        <v>#DIV/0!</v>
      </c>
      <c r="G275" s="48" t="e">
        <f t="shared" ref="G275:G299" si="203">B275-D275</f>
        <v>#VALUE!</v>
      </c>
      <c r="H275" s="48" t="e">
        <f t="shared" ref="H275:H277" si="204">C275-E275</f>
        <v>#VALUE!</v>
      </c>
      <c r="I275" s="47" t="e">
        <f t="shared" ref="I275:I299" si="205">IF((ABS(G275)&lt;$E$246),"TIE",F275)</f>
        <v>#VALUE!</v>
      </c>
      <c r="J275" s="47" t="e">
        <f t="shared" ref="J275:J299" si="206">IF((ABS(H275)&lt;$F$246),"TIE",F275)</f>
        <v>#VALUE!</v>
      </c>
      <c r="K275" s="47" t="e">
        <f t="shared" ref="K275:K299" si="207">IF(AND(I275&lt;&gt;"TIE",J275&lt;&gt;"TIE"),F275,"TIE")</f>
        <v>#VALUE!</v>
      </c>
      <c r="L275" s="49" t="e">
        <f t="shared" ref="L275:L299" si="208">IF(AND(I275="TIE",C275&gt;E275),"Red/Green",(IF(AND(I275="TIE",C275&lt;E275),"Blue/Yellow",(IF(AND(B275&lt;D275,J275="TIE"),"Red/Blue",(IF(AND(B275&gt;D275,J275="TIE"),"Green/Yellow")))))))</f>
        <v>#VALUE!</v>
      </c>
      <c r="M275" s="50" t="e">
        <f t="shared" ref="M275:M299" si="209">IF(AND(I275="TIE",J275="TIE"),"Four Way Tie",IF(L275=FALSE,K275,L275))</f>
        <v>#VALUE!</v>
      </c>
      <c r="N275" s="51" t="e">
        <f t="shared" ref="N275:O294" si="210">M275</f>
        <v>#VALUE!</v>
      </c>
      <c r="O275" s="52" t="e">
        <f t="shared" si="210"/>
        <v>#VALUE!</v>
      </c>
      <c r="P275" s="28"/>
    </row>
    <row r="276" spans="1:16" x14ac:dyDescent="0.45">
      <c r="A276" s="112">
        <f t="shared" si="191"/>
        <v>0</v>
      </c>
      <c r="B276" s="114" t="str">
        <f>IF(mtx_base_5!B45 = "","",mtx_base_5!B45)</f>
        <v/>
      </c>
      <c r="C276" s="114" t="str">
        <f>IF(mtx_base_5!C45 = "","",mtx_base_5!C45)</f>
        <v/>
      </c>
      <c r="D276" s="45" t="e">
        <f t="shared" si="179"/>
        <v>#DIV/0!</v>
      </c>
      <c r="E276" s="77" t="e">
        <f t="shared" si="180"/>
        <v>#DIV/0!</v>
      </c>
      <c r="F276" s="47" t="e">
        <f t="shared" si="202"/>
        <v>#DIV/0!</v>
      </c>
      <c r="G276" s="48" t="e">
        <f t="shared" si="203"/>
        <v>#VALUE!</v>
      </c>
      <c r="H276" s="48" t="e">
        <f t="shared" si="204"/>
        <v>#VALUE!</v>
      </c>
      <c r="I276" s="47" t="e">
        <f t="shared" si="205"/>
        <v>#VALUE!</v>
      </c>
      <c r="J276" s="47" t="e">
        <f t="shared" si="206"/>
        <v>#VALUE!</v>
      </c>
      <c r="K276" s="47" t="e">
        <f t="shared" si="207"/>
        <v>#VALUE!</v>
      </c>
      <c r="L276" s="49" t="e">
        <f t="shared" si="208"/>
        <v>#VALUE!</v>
      </c>
      <c r="M276" s="50" t="e">
        <f t="shared" si="209"/>
        <v>#VALUE!</v>
      </c>
      <c r="N276" s="51" t="e">
        <f t="shared" si="210"/>
        <v>#VALUE!</v>
      </c>
      <c r="O276" s="52" t="e">
        <f t="shared" si="210"/>
        <v>#VALUE!</v>
      </c>
      <c r="P276" s="28"/>
    </row>
    <row r="277" spans="1:16" x14ac:dyDescent="0.45">
      <c r="A277" s="112">
        <f t="shared" si="191"/>
        <v>0</v>
      </c>
      <c r="B277" s="114" t="str">
        <f>IF(mtx_base_5!B46 = "","",mtx_base_5!B46)</f>
        <v/>
      </c>
      <c r="C277" s="114" t="str">
        <f>IF(mtx_base_5!C46 = "","",mtx_base_5!C46)</f>
        <v/>
      </c>
      <c r="D277" s="45" t="e">
        <f t="shared" si="179"/>
        <v>#DIV/0!</v>
      </c>
      <c r="E277" s="77" t="e">
        <f t="shared" si="180"/>
        <v>#DIV/0!</v>
      </c>
      <c r="F277" s="47" t="e">
        <f t="shared" si="202"/>
        <v>#DIV/0!</v>
      </c>
      <c r="G277" s="48" t="e">
        <f t="shared" si="203"/>
        <v>#VALUE!</v>
      </c>
      <c r="H277" s="48" t="e">
        <f t="shared" si="204"/>
        <v>#VALUE!</v>
      </c>
      <c r="I277" s="47" t="e">
        <f t="shared" si="205"/>
        <v>#VALUE!</v>
      </c>
      <c r="J277" s="47" t="e">
        <f t="shared" si="206"/>
        <v>#VALUE!</v>
      </c>
      <c r="K277" s="47" t="e">
        <f t="shared" si="207"/>
        <v>#VALUE!</v>
      </c>
      <c r="L277" s="49" t="e">
        <f t="shared" si="208"/>
        <v>#VALUE!</v>
      </c>
      <c r="M277" s="53" t="e">
        <f t="shared" si="209"/>
        <v>#VALUE!</v>
      </c>
      <c r="N277" s="51" t="e">
        <f t="shared" si="210"/>
        <v>#VALUE!</v>
      </c>
      <c r="O277" s="52" t="e">
        <f t="shared" si="210"/>
        <v>#VALUE!</v>
      </c>
      <c r="P277" s="28"/>
    </row>
    <row r="278" spans="1:16" x14ac:dyDescent="0.45">
      <c r="A278" s="112">
        <f t="shared" si="191"/>
        <v>0</v>
      </c>
      <c r="B278" s="114" t="str">
        <f>IF(mtx_base_5!B47 = "","",mtx_base_5!B47)</f>
        <v/>
      </c>
      <c r="C278" s="114" t="str">
        <f>IF(mtx_base_5!C47 = "","",mtx_base_5!C47)</f>
        <v/>
      </c>
      <c r="D278" s="45" t="e">
        <f t="shared" si="179"/>
        <v>#DIV/0!</v>
      </c>
      <c r="E278" s="77" t="e">
        <f t="shared" si="180"/>
        <v>#DIV/0!</v>
      </c>
      <c r="F278" s="56" t="e">
        <f t="shared" si="202"/>
        <v>#DIV/0!</v>
      </c>
      <c r="G278" s="48" t="e">
        <f t="shared" si="203"/>
        <v>#VALUE!</v>
      </c>
      <c r="H278" s="48" t="e">
        <f t="shared" ref="H278:H299" si="211">C278-E278</f>
        <v>#VALUE!</v>
      </c>
      <c r="I278" s="47" t="e">
        <f t="shared" si="205"/>
        <v>#VALUE!</v>
      </c>
      <c r="J278" s="47" t="e">
        <f t="shared" si="206"/>
        <v>#VALUE!</v>
      </c>
      <c r="K278" s="47" t="e">
        <f t="shared" si="207"/>
        <v>#VALUE!</v>
      </c>
      <c r="L278" s="49" t="e">
        <f t="shared" si="208"/>
        <v>#VALUE!</v>
      </c>
      <c r="M278" s="53" t="e">
        <f t="shared" si="209"/>
        <v>#VALUE!</v>
      </c>
      <c r="N278" s="51" t="e">
        <f t="shared" si="210"/>
        <v>#VALUE!</v>
      </c>
      <c r="O278" s="52" t="e">
        <f t="shared" si="210"/>
        <v>#VALUE!</v>
      </c>
      <c r="P278" s="28"/>
    </row>
    <row r="279" spans="1:16" x14ac:dyDescent="0.45">
      <c r="A279" s="112">
        <f t="shared" si="191"/>
        <v>0</v>
      </c>
      <c r="B279" s="114" t="str">
        <f>IF(mtx_base_5!B48 = "","",mtx_base_5!B48)</f>
        <v/>
      </c>
      <c r="C279" s="114" t="str">
        <f>IF(mtx_base_5!C48 = "","",mtx_base_5!C48)</f>
        <v/>
      </c>
      <c r="D279" s="45" t="e">
        <f t="shared" si="179"/>
        <v>#DIV/0!</v>
      </c>
      <c r="E279" s="77" t="e">
        <f t="shared" si="180"/>
        <v>#DIV/0!</v>
      </c>
      <c r="F279" s="56" t="e">
        <f t="shared" si="202"/>
        <v>#DIV/0!</v>
      </c>
      <c r="G279" s="48" t="e">
        <f t="shared" si="203"/>
        <v>#VALUE!</v>
      </c>
      <c r="H279" s="48" t="e">
        <f t="shared" si="211"/>
        <v>#VALUE!</v>
      </c>
      <c r="I279" s="47" t="e">
        <f t="shared" si="205"/>
        <v>#VALUE!</v>
      </c>
      <c r="J279" s="47" t="e">
        <f t="shared" si="206"/>
        <v>#VALUE!</v>
      </c>
      <c r="K279" s="47" t="e">
        <f t="shared" si="207"/>
        <v>#VALUE!</v>
      </c>
      <c r="L279" s="49" t="e">
        <f t="shared" si="208"/>
        <v>#VALUE!</v>
      </c>
      <c r="M279" s="53" t="e">
        <f t="shared" si="209"/>
        <v>#VALUE!</v>
      </c>
      <c r="N279" s="51" t="e">
        <f t="shared" si="210"/>
        <v>#VALUE!</v>
      </c>
      <c r="O279" s="52" t="e">
        <f t="shared" si="210"/>
        <v>#VALUE!</v>
      </c>
      <c r="P279" s="28"/>
    </row>
    <row r="280" spans="1:16" x14ac:dyDescent="0.45">
      <c r="A280" s="112">
        <f t="shared" si="191"/>
        <v>0</v>
      </c>
      <c r="B280" s="114" t="str">
        <f>IF(mtx_base_5!B49 = "","",mtx_base_5!B49)</f>
        <v/>
      </c>
      <c r="C280" s="114" t="str">
        <f>IF(mtx_base_5!C49 = "","",mtx_base_5!C49)</f>
        <v/>
      </c>
      <c r="D280" s="45" t="e">
        <f t="shared" si="179"/>
        <v>#DIV/0!</v>
      </c>
      <c r="E280" s="77" t="e">
        <f t="shared" si="180"/>
        <v>#DIV/0!</v>
      </c>
      <c r="F280" s="56" t="e">
        <f t="shared" si="202"/>
        <v>#DIV/0!</v>
      </c>
      <c r="G280" s="48" t="e">
        <f t="shared" si="203"/>
        <v>#VALUE!</v>
      </c>
      <c r="H280" s="48" t="e">
        <f t="shared" si="211"/>
        <v>#VALUE!</v>
      </c>
      <c r="I280" s="47" t="e">
        <f t="shared" si="205"/>
        <v>#VALUE!</v>
      </c>
      <c r="J280" s="47" t="e">
        <f t="shared" si="206"/>
        <v>#VALUE!</v>
      </c>
      <c r="K280" s="47" t="e">
        <f t="shared" si="207"/>
        <v>#VALUE!</v>
      </c>
      <c r="L280" s="49" t="e">
        <f t="shared" si="208"/>
        <v>#VALUE!</v>
      </c>
      <c r="M280" s="53" t="e">
        <f t="shared" si="209"/>
        <v>#VALUE!</v>
      </c>
      <c r="N280" s="51" t="e">
        <f t="shared" si="210"/>
        <v>#VALUE!</v>
      </c>
      <c r="O280" s="52" t="e">
        <f t="shared" si="210"/>
        <v>#VALUE!</v>
      </c>
      <c r="P280" s="28"/>
    </row>
    <row r="281" spans="1:16" x14ac:dyDescent="0.45">
      <c r="A281" s="112">
        <f t="shared" si="191"/>
        <v>0</v>
      </c>
      <c r="B281" s="114" t="str">
        <f>IF(mtx_base_5!B50 = "","",mtx_base_5!B50)</f>
        <v/>
      </c>
      <c r="C281" s="114" t="str">
        <f>IF(mtx_base_5!C50 = "","",mtx_base_5!C50)</f>
        <v/>
      </c>
      <c r="D281" s="45" t="e">
        <f t="shared" si="179"/>
        <v>#DIV/0!</v>
      </c>
      <c r="E281" s="77" t="e">
        <f t="shared" si="180"/>
        <v>#DIV/0!</v>
      </c>
      <c r="F281" s="56" t="e">
        <f t="shared" si="202"/>
        <v>#DIV/0!</v>
      </c>
      <c r="G281" s="48" t="e">
        <f t="shared" si="203"/>
        <v>#VALUE!</v>
      </c>
      <c r="H281" s="48" t="e">
        <f t="shared" si="211"/>
        <v>#VALUE!</v>
      </c>
      <c r="I281" s="47" t="e">
        <f t="shared" si="205"/>
        <v>#VALUE!</v>
      </c>
      <c r="J281" s="47" t="e">
        <f t="shared" si="206"/>
        <v>#VALUE!</v>
      </c>
      <c r="K281" s="47" t="e">
        <f t="shared" si="207"/>
        <v>#VALUE!</v>
      </c>
      <c r="L281" s="49" t="e">
        <f t="shared" si="208"/>
        <v>#VALUE!</v>
      </c>
      <c r="M281" s="53" t="e">
        <f t="shared" si="209"/>
        <v>#VALUE!</v>
      </c>
      <c r="N281" s="51" t="e">
        <f t="shared" si="210"/>
        <v>#VALUE!</v>
      </c>
      <c r="O281" s="52" t="e">
        <f t="shared" si="210"/>
        <v>#VALUE!</v>
      </c>
      <c r="P281" s="28"/>
    </row>
    <row r="282" spans="1:16" x14ac:dyDescent="0.45">
      <c r="A282" s="112">
        <f t="shared" si="191"/>
        <v>0</v>
      </c>
      <c r="B282" s="114" t="str">
        <f>IF(mtx_base_5!B51 = "","",mtx_base_5!B51)</f>
        <v/>
      </c>
      <c r="C282" s="114" t="str">
        <f>IF(mtx_base_5!C51 = "","",mtx_base_5!C51)</f>
        <v/>
      </c>
      <c r="D282" s="45" t="e">
        <f t="shared" si="179"/>
        <v>#DIV/0!</v>
      </c>
      <c r="E282" s="77" t="e">
        <f t="shared" si="180"/>
        <v>#DIV/0!</v>
      </c>
      <c r="F282" s="56" t="e">
        <f t="shared" si="202"/>
        <v>#DIV/0!</v>
      </c>
      <c r="G282" s="48" t="e">
        <f t="shared" si="203"/>
        <v>#VALUE!</v>
      </c>
      <c r="H282" s="48" t="e">
        <f t="shared" si="211"/>
        <v>#VALUE!</v>
      </c>
      <c r="I282" s="47" t="e">
        <f t="shared" si="205"/>
        <v>#VALUE!</v>
      </c>
      <c r="J282" s="47" t="e">
        <f t="shared" si="206"/>
        <v>#VALUE!</v>
      </c>
      <c r="K282" s="47" t="e">
        <f t="shared" si="207"/>
        <v>#VALUE!</v>
      </c>
      <c r="L282" s="49" t="e">
        <f t="shared" si="208"/>
        <v>#VALUE!</v>
      </c>
      <c r="M282" s="53" t="e">
        <f t="shared" si="209"/>
        <v>#VALUE!</v>
      </c>
      <c r="N282" s="51" t="e">
        <f t="shared" si="210"/>
        <v>#VALUE!</v>
      </c>
      <c r="O282" s="52" t="e">
        <f t="shared" si="210"/>
        <v>#VALUE!</v>
      </c>
      <c r="P282" s="28"/>
    </row>
    <row r="283" spans="1:16" x14ac:dyDescent="0.45">
      <c r="A283" s="112">
        <f t="shared" si="191"/>
        <v>0</v>
      </c>
      <c r="B283" s="114" t="str">
        <f>IF(mtx_base_5!B52 = "","",mtx_base_5!B52)</f>
        <v/>
      </c>
      <c r="C283" s="114" t="str">
        <f>IF(mtx_base_5!C52 = "","",mtx_base_5!C52)</f>
        <v/>
      </c>
      <c r="D283" s="45" t="e">
        <f t="shared" si="179"/>
        <v>#DIV/0!</v>
      </c>
      <c r="E283" s="77" t="e">
        <f t="shared" si="180"/>
        <v>#DIV/0!</v>
      </c>
      <c r="F283" s="56" t="e">
        <f t="shared" si="202"/>
        <v>#DIV/0!</v>
      </c>
      <c r="G283" s="48" t="e">
        <f t="shared" si="203"/>
        <v>#VALUE!</v>
      </c>
      <c r="H283" s="48" t="e">
        <f t="shared" si="211"/>
        <v>#VALUE!</v>
      </c>
      <c r="I283" s="47" t="e">
        <f t="shared" si="205"/>
        <v>#VALUE!</v>
      </c>
      <c r="J283" s="47" t="e">
        <f t="shared" si="206"/>
        <v>#VALUE!</v>
      </c>
      <c r="K283" s="47" t="e">
        <f t="shared" si="207"/>
        <v>#VALUE!</v>
      </c>
      <c r="L283" s="49" t="e">
        <f t="shared" si="208"/>
        <v>#VALUE!</v>
      </c>
      <c r="M283" s="53" t="e">
        <f t="shared" si="209"/>
        <v>#VALUE!</v>
      </c>
      <c r="N283" s="51" t="e">
        <f t="shared" si="210"/>
        <v>#VALUE!</v>
      </c>
      <c r="O283" s="52" t="e">
        <f t="shared" si="210"/>
        <v>#VALUE!</v>
      </c>
      <c r="P283" s="28"/>
    </row>
    <row r="284" spans="1:16" x14ac:dyDescent="0.45">
      <c r="A284" s="112">
        <f t="shared" si="191"/>
        <v>0</v>
      </c>
      <c r="B284" s="114" t="str">
        <f>IF(mtx_base_5!B53 = "","",mtx_base_5!B53)</f>
        <v/>
      </c>
      <c r="C284" s="114" t="str">
        <f>IF(mtx_base_5!C53 = "","",mtx_base_5!C53)</f>
        <v/>
      </c>
      <c r="D284" s="45" t="e">
        <f t="shared" si="179"/>
        <v>#DIV/0!</v>
      </c>
      <c r="E284" s="77" t="e">
        <f t="shared" si="180"/>
        <v>#DIV/0!</v>
      </c>
      <c r="F284" s="56" t="e">
        <f t="shared" si="202"/>
        <v>#DIV/0!</v>
      </c>
      <c r="G284" s="48" t="e">
        <f t="shared" si="203"/>
        <v>#VALUE!</v>
      </c>
      <c r="H284" s="48" t="e">
        <f t="shared" si="211"/>
        <v>#VALUE!</v>
      </c>
      <c r="I284" s="47" t="e">
        <f t="shared" si="205"/>
        <v>#VALUE!</v>
      </c>
      <c r="J284" s="47" t="e">
        <f t="shared" si="206"/>
        <v>#VALUE!</v>
      </c>
      <c r="K284" s="47" t="e">
        <f t="shared" si="207"/>
        <v>#VALUE!</v>
      </c>
      <c r="L284" s="49" t="e">
        <f t="shared" si="208"/>
        <v>#VALUE!</v>
      </c>
      <c r="M284" s="53" t="e">
        <f t="shared" si="209"/>
        <v>#VALUE!</v>
      </c>
      <c r="N284" s="51" t="e">
        <f t="shared" si="210"/>
        <v>#VALUE!</v>
      </c>
      <c r="O284" s="52" t="e">
        <f t="shared" si="210"/>
        <v>#VALUE!</v>
      </c>
      <c r="P284" s="28"/>
    </row>
    <row r="285" spans="1:16" x14ac:dyDescent="0.45">
      <c r="A285" s="112">
        <f t="shared" si="191"/>
        <v>0</v>
      </c>
      <c r="B285" s="114" t="str">
        <f>IF(mtx_base_5!B54 = "","",mtx_base_5!B54)</f>
        <v/>
      </c>
      <c r="C285" s="114" t="str">
        <f>IF(mtx_base_5!C54 = "","",mtx_base_5!C54)</f>
        <v/>
      </c>
      <c r="D285" s="45" t="e">
        <f t="shared" si="179"/>
        <v>#DIV/0!</v>
      </c>
      <c r="E285" s="77" t="e">
        <f t="shared" si="180"/>
        <v>#DIV/0!</v>
      </c>
      <c r="F285" s="56" t="e">
        <f t="shared" si="202"/>
        <v>#DIV/0!</v>
      </c>
      <c r="G285" s="48" t="e">
        <f t="shared" si="203"/>
        <v>#VALUE!</v>
      </c>
      <c r="H285" s="48" t="e">
        <f t="shared" si="211"/>
        <v>#VALUE!</v>
      </c>
      <c r="I285" s="47" t="e">
        <f t="shared" si="205"/>
        <v>#VALUE!</v>
      </c>
      <c r="J285" s="47" t="e">
        <f t="shared" si="206"/>
        <v>#VALUE!</v>
      </c>
      <c r="K285" s="47" t="e">
        <f t="shared" si="207"/>
        <v>#VALUE!</v>
      </c>
      <c r="L285" s="49" t="e">
        <f t="shared" si="208"/>
        <v>#VALUE!</v>
      </c>
      <c r="M285" s="50" t="e">
        <f t="shared" si="209"/>
        <v>#VALUE!</v>
      </c>
      <c r="N285" s="51" t="e">
        <f t="shared" si="210"/>
        <v>#VALUE!</v>
      </c>
      <c r="O285" s="52" t="e">
        <f t="shared" si="210"/>
        <v>#VALUE!</v>
      </c>
      <c r="P285" s="28"/>
    </row>
    <row r="286" spans="1:16" x14ac:dyDescent="0.45">
      <c r="A286" s="112">
        <f t="shared" si="191"/>
        <v>0</v>
      </c>
      <c r="B286" s="114" t="str">
        <f>IF(mtx_base_5!B55 = "","",mtx_base_5!B55)</f>
        <v/>
      </c>
      <c r="C286" s="114" t="str">
        <f>IF(mtx_base_5!C55 = "","",mtx_base_5!C55)</f>
        <v/>
      </c>
      <c r="D286" s="45" t="e">
        <f t="shared" si="179"/>
        <v>#DIV/0!</v>
      </c>
      <c r="E286" s="77" t="e">
        <f t="shared" si="180"/>
        <v>#DIV/0!</v>
      </c>
      <c r="F286" s="56" t="e">
        <f t="shared" si="202"/>
        <v>#DIV/0!</v>
      </c>
      <c r="G286" s="48" t="e">
        <f t="shared" si="203"/>
        <v>#VALUE!</v>
      </c>
      <c r="H286" s="48" t="e">
        <f t="shared" si="211"/>
        <v>#VALUE!</v>
      </c>
      <c r="I286" s="47" t="e">
        <f t="shared" si="205"/>
        <v>#VALUE!</v>
      </c>
      <c r="J286" s="47" t="e">
        <f t="shared" si="206"/>
        <v>#VALUE!</v>
      </c>
      <c r="K286" s="47" t="e">
        <f t="shared" si="207"/>
        <v>#VALUE!</v>
      </c>
      <c r="L286" s="49" t="e">
        <f t="shared" si="208"/>
        <v>#VALUE!</v>
      </c>
      <c r="M286" s="50" t="e">
        <f t="shared" si="209"/>
        <v>#VALUE!</v>
      </c>
      <c r="N286" s="51" t="e">
        <f t="shared" si="210"/>
        <v>#VALUE!</v>
      </c>
      <c r="O286" s="52" t="e">
        <f t="shared" si="210"/>
        <v>#VALUE!</v>
      </c>
      <c r="P286" s="28"/>
    </row>
    <row r="287" spans="1:16" x14ac:dyDescent="0.45">
      <c r="A287" s="112">
        <f t="shared" si="191"/>
        <v>0</v>
      </c>
      <c r="B287" s="114" t="str">
        <f>IF(mtx_base_5!B56 = "","",mtx_base_5!B56)</f>
        <v/>
      </c>
      <c r="C287" s="114" t="str">
        <f>IF(mtx_base_5!C56 = "","",mtx_base_5!C56)</f>
        <v/>
      </c>
      <c r="D287" s="45" t="e">
        <f t="shared" si="179"/>
        <v>#DIV/0!</v>
      </c>
      <c r="E287" s="77" t="e">
        <f t="shared" si="180"/>
        <v>#DIV/0!</v>
      </c>
      <c r="F287" s="56" t="e">
        <f t="shared" si="202"/>
        <v>#DIV/0!</v>
      </c>
      <c r="G287" s="48" t="e">
        <f t="shared" si="203"/>
        <v>#VALUE!</v>
      </c>
      <c r="H287" s="48" t="e">
        <f t="shared" si="211"/>
        <v>#VALUE!</v>
      </c>
      <c r="I287" s="47" t="e">
        <f t="shared" si="205"/>
        <v>#VALUE!</v>
      </c>
      <c r="J287" s="47" t="e">
        <f t="shared" si="206"/>
        <v>#VALUE!</v>
      </c>
      <c r="K287" s="47" t="e">
        <f t="shared" si="207"/>
        <v>#VALUE!</v>
      </c>
      <c r="L287" s="49" t="e">
        <f t="shared" si="208"/>
        <v>#VALUE!</v>
      </c>
      <c r="M287" s="50" t="e">
        <f t="shared" si="209"/>
        <v>#VALUE!</v>
      </c>
      <c r="N287" s="51" t="e">
        <f t="shared" si="210"/>
        <v>#VALUE!</v>
      </c>
      <c r="O287" s="52" t="e">
        <f t="shared" si="210"/>
        <v>#VALUE!</v>
      </c>
      <c r="P287" s="28"/>
    </row>
    <row r="288" spans="1:16" x14ac:dyDescent="0.45">
      <c r="A288" s="112">
        <f t="shared" si="191"/>
        <v>0</v>
      </c>
      <c r="B288" s="114" t="str">
        <f>IF(mtx_base_5!B57 = "","",mtx_base_5!B57)</f>
        <v/>
      </c>
      <c r="C288" s="114" t="str">
        <f>IF(mtx_base_5!C57 = "","",mtx_base_5!C57)</f>
        <v/>
      </c>
      <c r="D288" s="45" t="e">
        <f t="shared" si="179"/>
        <v>#DIV/0!</v>
      </c>
      <c r="E288" s="77" t="e">
        <f t="shared" si="180"/>
        <v>#DIV/0!</v>
      </c>
      <c r="F288" s="56" t="e">
        <f t="shared" si="202"/>
        <v>#DIV/0!</v>
      </c>
      <c r="G288" s="48" t="e">
        <f t="shared" si="203"/>
        <v>#VALUE!</v>
      </c>
      <c r="H288" s="48" t="e">
        <f t="shared" si="211"/>
        <v>#VALUE!</v>
      </c>
      <c r="I288" s="47" t="e">
        <f t="shared" si="205"/>
        <v>#VALUE!</v>
      </c>
      <c r="J288" s="47" t="e">
        <f t="shared" si="206"/>
        <v>#VALUE!</v>
      </c>
      <c r="K288" s="47" t="e">
        <f t="shared" si="207"/>
        <v>#VALUE!</v>
      </c>
      <c r="L288" s="49" t="e">
        <f t="shared" si="208"/>
        <v>#VALUE!</v>
      </c>
      <c r="M288" s="50" t="e">
        <f t="shared" si="209"/>
        <v>#VALUE!</v>
      </c>
      <c r="N288" s="51" t="e">
        <f t="shared" si="210"/>
        <v>#VALUE!</v>
      </c>
      <c r="O288" s="52" t="e">
        <f t="shared" si="210"/>
        <v>#VALUE!</v>
      </c>
      <c r="P288" s="28"/>
    </row>
    <row r="289" spans="1:16" x14ac:dyDescent="0.45">
      <c r="A289" s="112">
        <f t="shared" si="191"/>
        <v>0</v>
      </c>
      <c r="B289" s="114" t="str">
        <f>IF(mtx_base_5!B58 = "","",mtx_base_5!B58)</f>
        <v/>
      </c>
      <c r="C289" s="114" t="str">
        <f>IF(mtx_base_5!C58 = "","",mtx_base_5!C58)</f>
        <v/>
      </c>
      <c r="D289" s="45" t="e">
        <f t="shared" si="179"/>
        <v>#DIV/0!</v>
      </c>
      <c r="E289" s="77" t="e">
        <f t="shared" si="180"/>
        <v>#DIV/0!</v>
      </c>
      <c r="F289" s="56" t="e">
        <f t="shared" si="202"/>
        <v>#DIV/0!</v>
      </c>
      <c r="G289" s="48" t="e">
        <f t="shared" si="203"/>
        <v>#VALUE!</v>
      </c>
      <c r="H289" s="48" t="e">
        <f t="shared" si="211"/>
        <v>#VALUE!</v>
      </c>
      <c r="I289" s="47" t="e">
        <f t="shared" si="205"/>
        <v>#VALUE!</v>
      </c>
      <c r="J289" s="47" t="e">
        <f t="shared" si="206"/>
        <v>#VALUE!</v>
      </c>
      <c r="K289" s="47" t="e">
        <f t="shared" si="207"/>
        <v>#VALUE!</v>
      </c>
      <c r="L289" s="49" t="e">
        <f t="shared" si="208"/>
        <v>#VALUE!</v>
      </c>
      <c r="M289" s="50" t="e">
        <f t="shared" si="209"/>
        <v>#VALUE!</v>
      </c>
      <c r="N289" s="51" t="e">
        <f t="shared" si="210"/>
        <v>#VALUE!</v>
      </c>
      <c r="O289" s="52" t="e">
        <f t="shared" si="210"/>
        <v>#VALUE!</v>
      </c>
      <c r="P289" s="28"/>
    </row>
    <row r="290" spans="1:16" x14ac:dyDescent="0.45">
      <c r="A290" s="112">
        <f t="shared" si="191"/>
        <v>0</v>
      </c>
      <c r="B290" s="114" t="str">
        <f>IF(mtx_base_5!B59 = "","",mtx_base_5!B59)</f>
        <v/>
      </c>
      <c r="C290" s="114" t="str">
        <f>IF(mtx_base_5!C59 = "","",mtx_base_5!C59)</f>
        <v/>
      </c>
      <c r="D290" s="45" t="e">
        <f t="shared" si="179"/>
        <v>#DIV/0!</v>
      </c>
      <c r="E290" s="77" t="e">
        <f t="shared" si="180"/>
        <v>#DIV/0!</v>
      </c>
      <c r="F290" s="56" t="e">
        <f t="shared" si="202"/>
        <v>#DIV/0!</v>
      </c>
      <c r="G290" s="48" t="e">
        <f t="shared" si="203"/>
        <v>#VALUE!</v>
      </c>
      <c r="H290" s="48" t="e">
        <f t="shared" si="211"/>
        <v>#VALUE!</v>
      </c>
      <c r="I290" s="47" t="e">
        <f t="shared" si="205"/>
        <v>#VALUE!</v>
      </c>
      <c r="J290" s="47" t="e">
        <f t="shared" si="206"/>
        <v>#VALUE!</v>
      </c>
      <c r="K290" s="47" t="e">
        <f t="shared" si="207"/>
        <v>#VALUE!</v>
      </c>
      <c r="L290" s="49" t="e">
        <f t="shared" si="208"/>
        <v>#VALUE!</v>
      </c>
      <c r="M290" s="50" t="e">
        <f t="shared" si="209"/>
        <v>#VALUE!</v>
      </c>
      <c r="N290" s="51" t="e">
        <f t="shared" si="210"/>
        <v>#VALUE!</v>
      </c>
      <c r="O290" s="52" t="e">
        <f t="shared" si="210"/>
        <v>#VALUE!</v>
      </c>
      <c r="P290" s="28"/>
    </row>
    <row r="291" spans="1:16" x14ac:dyDescent="0.45">
      <c r="A291" s="112">
        <f t="shared" si="191"/>
        <v>0</v>
      </c>
      <c r="B291" s="114" t="str">
        <f>IF(mtx_base_5!B60 = "","",mtx_base_5!B60)</f>
        <v/>
      </c>
      <c r="C291" s="114" t="str">
        <f>IF(mtx_base_5!C60 = "","",mtx_base_5!C60)</f>
        <v/>
      </c>
      <c r="D291" s="45" t="e">
        <f t="shared" si="179"/>
        <v>#DIV/0!</v>
      </c>
      <c r="E291" s="77" t="e">
        <f t="shared" si="180"/>
        <v>#DIV/0!</v>
      </c>
      <c r="F291" s="56" t="e">
        <f t="shared" si="202"/>
        <v>#DIV/0!</v>
      </c>
      <c r="G291" s="48" t="e">
        <f t="shared" si="203"/>
        <v>#VALUE!</v>
      </c>
      <c r="H291" s="48" t="e">
        <f t="shared" si="211"/>
        <v>#VALUE!</v>
      </c>
      <c r="I291" s="47" t="e">
        <f t="shared" si="205"/>
        <v>#VALUE!</v>
      </c>
      <c r="J291" s="47" t="e">
        <f t="shared" si="206"/>
        <v>#VALUE!</v>
      </c>
      <c r="K291" s="47" t="e">
        <f t="shared" si="207"/>
        <v>#VALUE!</v>
      </c>
      <c r="L291" s="49" t="e">
        <f t="shared" si="208"/>
        <v>#VALUE!</v>
      </c>
      <c r="M291" s="50" t="e">
        <f t="shared" si="209"/>
        <v>#VALUE!</v>
      </c>
      <c r="N291" s="51" t="e">
        <f t="shared" si="210"/>
        <v>#VALUE!</v>
      </c>
      <c r="O291" s="52" t="e">
        <f t="shared" si="210"/>
        <v>#VALUE!</v>
      </c>
      <c r="P291" s="28"/>
    </row>
    <row r="292" spans="1:16" x14ac:dyDescent="0.45">
      <c r="A292" s="112">
        <f t="shared" si="191"/>
        <v>0</v>
      </c>
      <c r="B292" s="114" t="str">
        <f>IF(mtx_base_5!B61 = "","",mtx_base_5!B61)</f>
        <v/>
      </c>
      <c r="C292" s="114" t="str">
        <f>IF(mtx_base_5!C61 = "","",mtx_base_5!C61)</f>
        <v/>
      </c>
      <c r="D292" s="45" t="e">
        <f t="shared" si="179"/>
        <v>#DIV/0!</v>
      </c>
      <c r="E292" s="77" t="e">
        <f t="shared" si="180"/>
        <v>#DIV/0!</v>
      </c>
      <c r="F292" s="56" t="e">
        <f t="shared" si="202"/>
        <v>#DIV/0!</v>
      </c>
      <c r="G292" s="48" t="e">
        <f t="shared" si="203"/>
        <v>#VALUE!</v>
      </c>
      <c r="H292" s="48" t="e">
        <f t="shared" si="211"/>
        <v>#VALUE!</v>
      </c>
      <c r="I292" s="47" t="e">
        <f t="shared" si="205"/>
        <v>#VALUE!</v>
      </c>
      <c r="J292" s="47" t="e">
        <f t="shared" si="206"/>
        <v>#VALUE!</v>
      </c>
      <c r="K292" s="47" t="e">
        <f t="shared" si="207"/>
        <v>#VALUE!</v>
      </c>
      <c r="L292" s="49" t="e">
        <f t="shared" si="208"/>
        <v>#VALUE!</v>
      </c>
      <c r="M292" s="50" t="e">
        <f t="shared" si="209"/>
        <v>#VALUE!</v>
      </c>
      <c r="N292" s="51" t="e">
        <f t="shared" si="210"/>
        <v>#VALUE!</v>
      </c>
      <c r="O292" s="52" t="e">
        <f t="shared" si="210"/>
        <v>#VALUE!</v>
      </c>
      <c r="P292" s="28"/>
    </row>
    <row r="293" spans="1:16" x14ac:dyDescent="0.45">
      <c r="A293" s="112">
        <f t="shared" si="191"/>
        <v>0</v>
      </c>
      <c r="B293" s="114" t="str">
        <f>IF(mtx_base_5!B62 = "","",mtx_base_5!B62)</f>
        <v/>
      </c>
      <c r="C293" s="114" t="str">
        <f>IF(mtx_base_5!C62 = "","",mtx_base_5!C62)</f>
        <v/>
      </c>
      <c r="D293" s="45" t="e">
        <f t="shared" si="179"/>
        <v>#DIV/0!</v>
      </c>
      <c r="E293" s="77" t="e">
        <f t="shared" si="180"/>
        <v>#DIV/0!</v>
      </c>
      <c r="F293" s="56" t="e">
        <f t="shared" si="202"/>
        <v>#DIV/0!</v>
      </c>
      <c r="G293" s="48" t="e">
        <f t="shared" si="203"/>
        <v>#VALUE!</v>
      </c>
      <c r="H293" s="48" t="e">
        <f t="shared" si="211"/>
        <v>#VALUE!</v>
      </c>
      <c r="I293" s="47" t="e">
        <f t="shared" si="205"/>
        <v>#VALUE!</v>
      </c>
      <c r="J293" s="47" t="e">
        <f t="shared" si="206"/>
        <v>#VALUE!</v>
      </c>
      <c r="K293" s="47" t="e">
        <f t="shared" si="207"/>
        <v>#VALUE!</v>
      </c>
      <c r="L293" s="49" t="e">
        <f t="shared" si="208"/>
        <v>#VALUE!</v>
      </c>
      <c r="M293" s="50" t="e">
        <f t="shared" si="209"/>
        <v>#VALUE!</v>
      </c>
      <c r="N293" s="51" t="e">
        <f t="shared" si="210"/>
        <v>#VALUE!</v>
      </c>
      <c r="O293" s="52" t="e">
        <f t="shared" si="210"/>
        <v>#VALUE!</v>
      </c>
      <c r="P293" s="28"/>
    </row>
    <row r="294" spans="1:16" x14ac:dyDescent="0.45">
      <c r="A294" s="112">
        <f t="shared" si="191"/>
        <v>0</v>
      </c>
      <c r="B294" s="114" t="str">
        <f>IF(mtx_base_5!B63 = "","",mtx_base_5!B63)</f>
        <v/>
      </c>
      <c r="C294" s="114" t="str">
        <f>IF(mtx_base_5!C63 = "","",mtx_base_5!C63)</f>
        <v/>
      </c>
      <c r="D294" s="45" t="e">
        <f t="shared" si="179"/>
        <v>#DIV/0!</v>
      </c>
      <c r="E294" s="77" t="e">
        <f t="shared" si="180"/>
        <v>#DIV/0!</v>
      </c>
      <c r="F294" s="56" t="e">
        <f t="shared" si="202"/>
        <v>#DIV/0!</v>
      </c>
      <c r="G294" s="48" t="e">
        <f t="shared" si="203"/>
        <v>#VALUE!</v>
      </c>
      <c r="H294" s="48" t="e">
        <f t="shared" si="211"/>
        <v>#VALUE!</v>
      </c>
      <c r="I294" s="47" t="e">
        <f t="shared" si="205"/>
        <v>#VALUE!</v>
      </c>
      <c r="J294" s="47" t="e">
        <f t="shared" si="206"/>
        <v>#VALUE!</v>
      </c>
      <c r="K294" s="47" t="e">
        <f t="shared" si="207"/>
        <v>#VALUE!</v>
      </c>
      <c r="L294" s="49" t="e">
        <f t="shared" si="208"/>
        <v>#VALUE!</v>
      </c>
      <c r="M294" s="50" t="e">
        <f t="shared" si="209"/>
        <v>#VALUE!</v>
      </c>
      <c r="N294" s="51" t="e">
        <f t="shared" si="210"/>
        <v>#VALUE!</v>
      </c>
      <c r="O294" s="52" t="e">
        <f t="shared" si="210"/>
        <v>#VALUE!</v>
      </c>
      <c r="P294" s="28"/>
    </row>
    <row r="295" spans="1:16" x14ac:dyDescent="0.45">
      <c r="A295" s="112">
        <f t="shared" si="191"/>
        <v>0</v>
      </c>
      <c r="B295" s="114" t="str">
        <f>IF(mtx_base_5!B64 = "","",mtx_base_5!B64)</f>
        <v/>
      </c>
      <c r="C295" s="114" t="str">
        <f>IF(mtx_base_5!C64 = "","",mtx_base_5!C64)</f>
        <v/>
      </c>
      <c r="D295" s="45" t="e">
        <f t="shared" si="179"/>
        <v>#DIV/0!</v>
      </c>
      <c r="E295" s="77" t="e">
        <f t="shared" si="180"/>
        <v>#DIV/0!</v>
      </c>
      <c r="F295" s="56" t="e">
        <f t="shared" si="202"/>
        <v>#DIV/0!</v>
      </c>
      <c r="G295" s="48" t="e">
        <f t="shared" si="203"/>
        <v>#VALUE!</v>
      </c>
      <c r="H295" s="48" t="e">
        <f t="shared" si="211"/>
        <v>#VALUE!</v>
      </c>
      <c r="I295" s="47" t="e">
        <f t="shared" si="205"/>
        <v>#VALUE!</v>
      </c>
      <c r="J295" s="47" t="e">
        <f t="shared" si="206"/>
        <v>#VALUE!</v>
      </c>
      <c r="K295" s="47" t="e">
        <f t="shared" si="207"/>
        <v>#VALUE!</v>
      </c>
      <c r="L295" s="49" t="e">
        <f t="shared" si="208"/>
        <v>#VALUE!</v>
      </c>
      <c r="M295" s="50" t="e">
        <f t="shared" si="209"/>
        <v>#VALUE!</v>
      </c>
      <c r="N295" s="51" t="e">
        <f t="shared" ref="N295:O299" si="212">M295</f>
        <v>#VALUE!</v>
      </c>
      <c r="O295" s="52" t="e">
        <f t="shared" si="212"/>
        <v>#VALUE!</v>
      </c>
      <c r="P295" s="28"/>
    </row>
    <row r="296" spans="1:16" x14ac:dyDescent="0.45">
      <c r="A296" s="112">
        <f t="shared" si="191"/>
        <v>0</v>
      </c>
      <c r="B296" s="114" t="str">
        <f>IF(mtx_base_5!B65 = "","",mtx_base_5!B65)</f>
        <v/>
      </c>
      <c r="C296" s="114" t="str">
        <f>IF(mtx_base_5!C65 = "","",mtx_base_5!C65)</f>
        <v/>
      </c>
      <c r="D296" s="45" t="e">
        <f t="shared" si="179"/>
        <v>#DIV/0!</v>
      </c>
      <c r="E296" s="77" t="e">
        <f t="shared" si="180"/>
        <v>#DIV/0!</v>
      </c>
      <c r="F296" s="56" t="e">
        <f t="shared" si="202"/>
        <v>#DIV/0!</v>
      </c>
      <c r="G296" s="48" t="e">
        <f t="shared" si="203"/>
        <v>#VALUE!</v>
      </c>
      <c r="H296" s="48" t="e">
        <f t="shared" si="211"/>
        <v>#VALUE!</v>
      </c>
      <c r="I296" s="47" t="e">
        <f t="shared" si="205"/>
        <v>#VALUE!</v>
      </c>
      <c r="J296" s="47" t="e">
        <f t="shared" si="206"/>
        <v>#VALUE!</v>
      </c>
      <c r="K296" s="47" t="e">
        <f t="shared" si="207"/>
        <v>#VALUE!</v>
      </c>
      <c r="L296" s="49" t="e">
        <f t="shared" si="208"/>
        <v>#VALUE!</v>
      </c>
      <c r="M296" s="50" t="e">
        <f t="shared" si="209"/>
        <v>#VALUE!</v>
      </c>
      <c r="N296" s="51" t="e">
        <f t="shared" si="212"/>
        <v>#VALUE!</v>
      </c>
      <c r="O296" s="52" t="e">
        <f t="shared" si="212"/>
        <v>#VALUE!</v>
      </c>
      <c r="P296" s="28"/>
    </row>
    <row r="297" spans="1:16" x14ac:dyDescent="0.45">
      <c r="A297" s="112">
        <f t="shared" si="191"/>
        <v>0</v>
      </c>
      <c r="B297" s="114" t="str">
        <f>IF(mtx_base_5!B66 = "","",mtx_base_5!B66)</f>
        <v/>
      </c>
      <c r="C297" s="114" t="str">
        <f>IF(mtx_base_5!C66 = "","",mtx_base_5!C66)</f>
        <v/>
      </c>
      <c r="D297" s="45" t="e">
        <f t="shared" si="179"/>
        <v>#DIV/0!</v>
      </c>
      <c r="E297" s="77" t="e">
        <f t="shared" si="180"/>
        <v>#DIV/0!</v>
      </c>
      <c r="F297" s="56" t="e">
        <f t="shared" si="202"/>
        <v>#DIV/0!</v>
      </c>
      <c r="G297" s="48" t="e">
        <f t="shared" si="203"/>
        <v>#VALUE!</v>
      </c>
      <c r="H297" s="48" t="e">
        <f t="shared" si="211"/>
        <v>#VALUE!</v>
      </c>
      <c r="I297" s="47" t="e">
        <f t="shared" si="205"/>
        <v>#VALUE!</v>
      </c>
      <c r="J297" s="47" t="e">
        <f t="shared" si="206"/>
        <v>#VALUE!</v>
      </c>
      <c r="K297" s="47" t="e">
        <f t="shared" si="207"/>
        <v>#VALUE!</v>
      </c>
      <c r="L297" s="49" t="e">
        <f t="shared" si="208"/>
        <v>#VALUE!</v>
      </c>
      <c r="M297" s="50" t="e">
        <f t="shared" si="209"/>
        <v>#VALUE!</v>
      </c>
      <c r="N297" s="51" t="e">
        <f t="shared" si="212"/>
        <v>#VALUE!</v>
      </c>
      <c r="O297" s="52" t="e">
        <f t="shared" si="212"/>
        <v>#VALUE!</v>
      </c>
      <c r="P297" s="28"/>
    </row>
    <row r="298" spans="1:16" x14ac:dyDescent="0.45">
      <c r="A298" s="112">
        <f t="shared" si="191"/>
        <v>0</v>
      </c>
      <c r="B298" s="114" t="str">
        <f>IF(mtx_base_5!B67 = "","",mtx_base_5!B67)</f>
        <v/>
      </c>
      <c r="C298" s="114" t="str">
        <f>IF(mtx_base_5!C67 = "","",mtx_base_5!C67)</f>
        <v/>
      </c>
      <c r="D298" s="45" t="e">
        <f t="shared" si="179"/>
        <v>#DIV/0!</v>
      </c>
      <c r="E298" s="77" t="e">
        <f t="shared" si="180"/>
        <v>#DIV/0!</v>
      </c>
      <c r="F298" s="56" t="e">
        <f t="shared" si="202"/>
        <v>#DIV/0!</v>
      </c>
      <c r="G298" s="48" t="e">
        <f t="shared" si="203"/>
        <v>#VALUE!</v>
      </c>
      <c r="H298" s="48" t="e">
        <f t="shared" si="211"/>
        <v>#VALUE!</v>
      </c>
      <c r="I298" s="47" t="e">
        <f t="shared" si="205"/>
        <v>#VALUE!</v>
      </c>
      <c r="J298" s="47" t="e">
        <f t="shared" si="206"/>
        <v>#VALUE!</v>
      </c>
      <c r="K298" s="47" t="e">
        <f t="shared" si="207"/>
        <v>#VALUE!</v>
      </c>
      <c r="L298" s="49" t="e">
        <f t="shared" si="208"/>
        <v>#VALUE!</v>
      </c>
      <c r="M298" s="50" t="e">
        <f t="shared" si="209"/>
        <v>#VALUE!</v>
      </c>
      <c r="N298" s="51" t="e">
        <f t="shared" si="212"/>
        <v>#VALUE!</v>
      </c>
      <c r="O298" s="52" t="e">
        <f t="shared" si="212"/>
        <v>#VALUE!</v>
      </c>
      <c r="P298" s="28"/>
    </row>
    <row r="299" spans="1:16" ht="16.5" thickBot="1" x14ac:dyDescent="0.5">
      <c r="A299" s="112">
        <f t="shared" si="191"/>
        <v>0</v>
      </c>
      <c r="B299" s="114" t="str">
        <f>IF(mtx_base_5!B68 = "","",mtx_base_5!B68)</f>
        <v/>
      </c>
      <c r="C299" s="114" t="str">
        <f>IF(mtx_base_5!C68 = "","",mtx_base_5!C68)</f>
        <v/>
      </c>
      <c r="D299" s="45" t="e">
        <f t="shared" si="179"/>
        <v>#DIV/0!</v>
      </c>
      <c r="E299" s="77" t="e">
        <f t="shared" si="180"/>
        <v>#DIV/0!</v>
      </c>
      <c r="F299" s="56" t="e">
        <f t="shared" si="202"/>
        <v>#DIV/0!</v>
      </c>
      <c r="G299" s="48" t="e">
        <f t="shared" si="203"/>
        <v>#VALUE!</v>
      </c>
      <c r="H299" s="48" t="e">
        <f t="shared" si="211"/>
        <v>#VALUE!</v>
      </c>
      <c r="I299" s="47" t="e">
        <f t="shared" si="205"/>
        <v>#VALUE!</v>
      </c>
      <c r="J299" s="47" t="e">
        <f t="shared" si="206"/>
        <v>#VALUE!</v>
      </c>
      <c r="K299" s="47" t="e">
        <f t="shared" si="207"/>
        <v>#VALUE!</v>
      </c>
      <c r="L299" s="49" t="e">
        <f t="shared" si="208"/>
        <v>#VALUE!</v>
      </c>
      <c r="M299" s="50" t="e">
        <f t="shared" si="209"/>
        <v>#VALUE!</v>
      </c>
      <c r="N299" s="51" t="e">
        <f t="shared" si="212"/>
        <v>#VALUE!</v>
      </c>
      <c r="O299" s="52" t="e">
        <f t="shared" si="212"/>
        <v>#VALUE!</v>
      </c>
      <c r="P299" s="28"/>
    </row>
    <row r="300" spans="1:16" ht="16.5" thickBot="1" x14ac:dyDescent="0.5">
      <c r="A300" s="60" t="s">
        <v>46</v>
      </c>
      <c r="B300" s="7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</row>
    <row r="301" spans="1:16" ht="25.5" thickBot="1" x14ac:dyDescent="0.75">
      <c r="A301" s="27" t="s">
        <v>51</v>
      </c>
      <c r="B301" s="137"/>
      <c r="C301" s="137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</row>
    <row r="302" spans="1:16" ht="16.5" thickBot="1" x14ac:dyDescent="0.5">
      <c r="A302" s="30"/>
      <c r="B302" s="137"/>
      <c r="C302" s="137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</row>
    <row r="303" spans="1:16" ht="16.5" thickBot="1" x14ac:dyDescent="0.5">
      <c r="A303" s="31" t="s">
        <v>30</v>
      </c>
      <c r="B303" s="137"/>
      <c r="C303" s="137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</row>
    <row r="304" spans="1:16" x14ac:dyDescent="0.45">
      <c r="A304" s="32" t="s">
        <v>31</v>
      </c>
      <c r="B304" s="33" t="e">
        <f>AVERAGE(B309:B358)</f>
        <v>#DIV/0!</v>
      </c>
      <c r="C304" s="34" t="e">
        <f>AVERAGE(C309:C358)</f>
        <v>#DIV/0!</v>
      </c>
      <c r="D304" s="35" t="s">
        <v>32</v>
      </c>
      <c r="E304" s="61" t="e">
        <f>B306-B305</f>
        <v>#DIV/0!</v>
      </c>
      <c r="F304" s="62" t="e">
        <f>C306-C305</f>
        <v>#DIV/0!</v>
      </c>
      <c r="G304" s="38"/>
      <c r="H304" s="39"/>
      <c r="I304" s="38"/>
      <c r="J304" s="38"/>
      <c r="K304" s="28"/>
      <c r="L304" s="28"/>
      <c r="M304" s="28"/>
      <c r="N304" s="28"/>
      <c r="O304" s="28"/>
      <c r="P304" s="28"/>
    </row>
    <row r="305" spans="1:16" ht="16.5" thickBot="1" x14ac:dyDescent="0.5">
      <c r="A305" s="63" t="s">
        <v>33</v>
      </c>
      <c r="B305" s="64" t="e">
        <f>B304-1.1*(MAX(MAX(B309:B358)-B304,B304-MIN(B309:B358)))</f>
        <v>#DIV/0!</v>
      </c>
      <c r="C305" s="133" t="e">
        <f>C304-1.1*(MAX(MAX(C309:C358)-C304,C304-MIN(C309:C358)))</f>
        <v>#DIV/0!</v>
      </c>
      <c r="D305" s="65" t="s">
        <v>34</v>
      </c>
      <c r="E305" s="66" t="e">
        <f>+E304/75</f>
        <v>#DIV/0!</v>
      </c>
      <c r="F305" s="67" t="e">
        <f>+F304/75</f>
        <v>#DIV/0!</v>
      </c>
      <c r="G305" s="38"/>
      <c r="H305" s="38"/>
      <c r="I305" s="38"/>
      <c r="J305" s="38"/>
      <c r="K305" s="28"/>
      <c r="L305" s="28"/>
      <c r="M305" s="28"/>
      <c r="N305" s="28"/>
      <c r="O305" s="28"/>
      <c r="P305" s="28"/>
    </row>
    <row r="306" spans="1:16" ht="16.5" thickBot="1" x14ac:dyDescent="0.5">
      <c r="A306" s="68" t="s">
        <v>35</v>
      </c>
      <c r="B306" s="69" t="e">
        <f>B304+1.1*(MAX(MAX(B309:B358)-B304,B304-MIN(B309:B358)))</f>
        <v>#DIV/0!</v>
      </c>
      <c r="C306" s="70" t="e">
        <f>C304+1.1*(MAX(MAX(C309:C358)-C304,C304-MIN(C309:C358)))</f>
        <v>#DIV/0!</v>
      </c>
      <c r="D306" s="40"/>
      <c r="E306" s="41"/>
      <c r="F306" s="41"/>
      <c r="G306" s="42"/>
      <c r="H306" s="42"/>
      <c r="I306" s="42"/>
      <c r="J306" s="42"/>
      <c r="K306" s="43"/>
      <c r="L306" s="43"/>
      <c r="M306" s="28"/>
      <c r="N306" s="28"/>
      <c r="O306" s="28"/>
      <c r="P306" s="28"/>
    </row>
    <row r="307" spans="1:16" x14ac:dyDescent="0.45">
      <c r="A307" s="28"/>
      <c r="B307" s="38"/>
      <c r="C307" s="44"/>
      <c r="D307" s="138" t="s">
        <v>36</v>
      </c>
      <c r="E307" s="139"/>
      <c r="F307" s="139"/>
      <c r="G307" s="139"/>
      <c r="H307" s="139"/>
      <c r="I307" s="139"/>
      <c r="J307" s="139"/>
      <c r="K307" s="139"/>
      <c r="L307" s="139"/>
      <c r="M307" s="140" t="s">
        <v>37</v>
      </c>
      <c r="N307" s="140"/>
      <c r="O307" s="144" t="s">
        <v>38</v>
      </c>
      <c r="P307" s="28"/>
    </row>
    <row r="308" spans="1:16" ht="16.5" thickBot="1" x14ac:dyDescent="0.5">
      <c r="A308" s="71" t="s">
        <v>39</v>
      </c>
      <c r="B308" s="72" t="s">
        <v>40</v>
      </c>
      <c r="C308" s="73" t="s">
        <v>41</v>
      </c>
      <c r="D308" s="149" t="s">
        <v>42</v>
      </c>
      <c r="E308" s="150"/>
      <c r="F308" s="74" t="s">
        <v>43</v>
      </c>
      <c r="G308" s="150" t="s">
        <v>44</v>
      </c>
      <c r="H308" s="150"/>
      <c r="I308" s="150"/>
      <c r="J308" s="150"/>
      <c r="K308" s="150" t="s">
        <v>45</v>
      </c>
      <c r="L308" s="150"/>
      <c r="M308" s="152"/>
      <c r="N308" s="152"/>
      <c r="O308" s="148"/>
      <c r="P308" s="28"/>
    </row>
    <row r="309" spans="1:16" x14ac:dyDescent="0.45">
      <c r="A309" s="112">
        <f>A9</f>
        <v>0</v>
      </c>
      <c r="B309" s="114" t="str">
        <f>IF(mtx_base_6!B19 = "","",mtx_base_6!B19)</f>
        <v/>
      </c>
      <c r="C309" s="114" t="str">
        <f>IF(mtx_base_6!C19 = "","",mtx_base_6!C19)</f>
        <v/>
      </c>
      <c r="D309" s="45" t="e">
        <f t="shared" ref="D309:D358" si="213">$B$304</f>
        <v>#DIV/0!</v>
      </c>
      <c r="E309" s="77" t="e">
        <f t="shared" ref="E309:E358" si="214">$C$304</f>
        <v>#DIV/0!</v>
      </c>
      <c r="F309" s="47" t="e">
        <f t="shared" ref="F309" si="215">IF(AND(B309&lt;D309,C309&lt;E309),"Blue",(IF(AND(B309&lt;D309,C309&gt;E309),"Red",(IF(AND(B309&gt;D309,C309&gt;E309),"Green",(IF(AND(B309&gt;D309,C309&lt;E309),"Yellow")))))))</f>
        <v>#DIV/0!</v>
      </c>
      <c r="G309" s="48" t="e">
        <f t="shared" ref="G309" si="216">B309-D309</f>
        <v>#VALUE!</v>
      </c>
      <c r="H309" s="48" t="e">
        <f t="shared" ref="H309" si="217">C309-E309</f>
        <v>#VALUE!</v>
      </c>
      <c r="I309" s="47" t="e">
        <f t="shared" ref="I309" si="218">IF((ABS(G309)&lt;$E$305),"TIE",F309)</f>
        <v>#VALUE!</v>
      </c>
      <c r="J309" s="47" t="e">
        <f t="shared" ref="J309" si="219">IF((ABS(H309)&lt;$F$305),"TIE",F309)</f>
        <v>#VALUE!</v>
      </c>
      <c r="K309" s="47" t="e">
        <f t="shared" ref="K309" si="220">IF(AND(I309&lt;&gt;"TIE",J309&lt;&gt;"TIE"),F309,"TIE")</f>
        <v>#VALUE!</v>
      </c>
      <c r="L309" s="49" t="e">
        <f t="shared" ref="L309" si="221">IF(AND(I309="TIE",C309&gt;E309),"Red/Green",(IF(AND(I309="TIE",C309&lt;E309),"Blue/Yellow",(IF(AND(B309&lt;D309,J309="TIE"),"Red/Blue",(IF(AND(B309&gt;D309,J309="TIE"),"Green/Yellow")))))))</f>
        <v>#VALUE!</v>
      </c>
      <c r="M309" s="50" t="e">
        <f t="shared" ref="M309" si="222">IF(AND(I309="TIE",J309="TIE"),"Four Way Tie",IF(L309=FALSE,K309,L309))</f>
        <v>#VALUE!</v>
      </c>
      <c r="N309" s="51" t="e">
        <f t="shared" ref="N309" si="223">M309</f>
        <v>#VALUE!</v>
      </c>
      <c r="O309" s="52" t="e">
        <f t="shared" ref="O309" si="224">N309</f>
        <v>#VALUE!</v>
      </c>
      <c r="P309" s="28"/>
    </row>
    <row r="310" spans="1:16" x14ac:dyDescent="0.45">
      <c r="A310" s="112">
        <f t="shared" ref="A310:A358" si="225">A10</f>
        <v>0</v>
      </c>
      <c r="B310" s="114" t="str">
        <f>IF(mtx_base_6!B20 = "","",mtx_base_6!B20)</f>
        <v/>
      </c>
      <c r="C310" s="114" t="str">
        <f>IF(mtx_base_6!C20 = "","",mtx_base_6!C20)</f>
        <v/>
      </c>
      <c r="D310" s="45" t="e">
        <f t="shared" si="213"/>
        <v>#DIV/0!</v>
      </c>
      <c r="E310" s="77" t="e">
        <f t="shared" si="214"/>
        <v>#DIV/0!</v>
      </c>
      <c r="F310" s="47" t="e">
        <f t="shared" ref="F310:F358" si="226">IF(AND(B310&lt;D310,C310&lt;E310),"Blue",(IF(AND(B310&lt;D310,C310&gt;E310),"Red",(IF(AND(B310&gt;D310,C310&gt;E310),"Green",(IF(AND(B310&gt;D310,C310&lt;E310),"Yellow")))))))</f>
        <v>#DIV/0!</v>
      </c>
      <c r="G310" s="48" t="e">
        <f t="shared" ref="G310:G358" si="227">B310-D310</f>
        <v>#VALUE!</v>
      </c>
      <c r="H310" s="48" t="e">
        <f t="shared" ref="H310:H358" si="228">C310-E310</f>
        <v>#VALUE!</v>
      </c>
      <c r="I310" s="47" t="e">
        <f t="shared" ref="I310:I358" si="229">IF((ABS(G310)&lt;$E$305),"TIE",F310)</f>
        <v>#VALUE!</v>
      </c>
      <c r="J310" s="47" t="e">
        <f t="shared" ref="J310:J358" si="230">IF((ABS(H310)&lt;$F$305),"TIE",F310)</f>
        <v>#VALUE!</v>
      </c>
      <c r="K310" s="47" t="e">
        <f t="shared" ref="K310:K358" si="231">IF(AND(I310&lt;&gt;"TIE",J310&lt;&gt;"TIE"),F310,"TIE")</f>
        <v>#VALUE!</v>
      </c>
      <c r="L310" s="49" t="e">
        <f t="shared" ref="L310:L358" si="232">IF(AND(I310="TIE",C310&gt;E310),"Red/Green",(IF(AND(I310="TIE",C310&lt;E310),"Blue/Yellow",(IF(AND(B310&lt;D310,J310="TIE"),"Red/Blue",(IF(AND(B310&gt;D310,J310="TIE"),"Green/Yellow")))))))</f>
        <v>#VALUE!</v>
      </c>
      <c r="M310" s="50" t="e">
        <f t="shared" ref="M310:M358" si="233">IF(AND(I310="TIE",J310="TIE"),"Four Way Tie",IF(L310=FALSE,K310,L310))</f>
        <v>#VALUE!</v>
      </c>
      <c r="N310" s="51" t="e">
        <f t="shared" ref="N310:N358" si="234">M310</f>
        <v>#VALUE!</v>
      </c>
      <c r="O310" s="52" t="e">
        <f t="shared" ref="O310:O358" si="235">N310</f>
        <v>#VALUE!</v>
      </c>
      <c r="P310" s="28"/>
    </row>
    <row r="311" spans="1:16" x14ac:dyDescent="0.45">
      <c r="A311" s="112">
        <f t="shared" si="225"/>
        <v>0</v>
      </c>
      <c r="B311" s="114" t="str">
        <f>IF(mtx_base_6!B21 = "","",mtx_base_6!B21)</f>
        <v/>
      </c>
      <c r="C311" s="114" t="str">
        <f>IF(mtx_base_6!C21 = "","",mtx_base_6!C21)</f>
        <v/>
      </c>
      <c r="D311" s="45" t="e">
        <f t="shared" si="213"/>
        <v>#DIV/0!</v>
      </c>
      <c r="E311" s="77" t="e">
        <f t="shared" si="214"/>
        <v>#DIV/0!</v>
      </c>
      <c r="F311" s="47" t="e">
        <f t="shared" si="226"/>
        <v>#DIV/0!</v>
      </c>
      <c r="G311" s="48" t="e">
        <f t="shared" si="227"/>
        <v>#VALUE!</v>
      </c>
      <c r="H311" s="48" t="e">
        <f t="shared" si="228"/>
        <v>#VALUE!</v>
      </c>
      <c r="I311" s="47" t="e">
        <f t="shared" si="229"/>
        <v>#VALUE!</v>
      </c>
      <c r="J311" s="47" t="e">
        <f t="shared" si="230"/>
        <v>#VALUE!</v>
      </c>
      <c r="K311" s="47" t="e">
        <f t="shared" si="231"/>
        <v>#VALUE!</v>
      </c>
      <c r="L311" s="49" t="e">
        <f t="shared" si="232"/>
        <v>#VALUE!</v>
      </c>
      <c r="M311" s="50" t="e">
        <f t="shared" si="233"/>
        <v>#VALUE!</v>
      </c>
      <c r="N311" s="51" t="e">
        <f t="shared" si="234"/>
        <v>#VALUE!</v>
      </c>
      <c r="O311" s="52" t="e">
        <f t="shared" si="235"/>
        <v>#VALUE!</v>
      </c>
      <c r="P311" s="28"/>
    </row>
    <row r="312" spans="1:16" x14ac:dyDescent="0.45">
      <c r="A312" s="112">
        <f t="shared" si="225"/>
        <v>0</v>
      </c>
      <c r="B312" s="114" t="str">
        <f>IF(mtx_base_6!B22 = "","",mtx_base_6!B22)</f>
        <v/>
      </c>
      <c r="C312" s="114" t="str">
        <f>IF(mtx_base_6!C22 = "","",mtx_base_6!C22)</f>
        <v/>
      </c>
      <c r="D312" s="45" t="e">
        <f t="shared" si="213"/>
        <v>#DIV/0!</v>
      </c>
      <c r="E312" s="77" t="e">
        <f t="shared" si="214"/>
        <v>#DIV/0!</v>
      </c>
      <c r="F312" s="47" t="e">
        <f t="shared" si="226"/>
        <v>#DIV/0!</v>
      </c>
      <c r="G312" s="48" t="e">
        <f t="shared" si="227"/>
        <v>#VALUE!</v>
      </c>
      <c r="H312" s="48" t="e">
        <f t="shared" si="228"/>
        <v>#VALUE!</v>
      </c>
      <c r="I312" s="47" t="e">
        <f t="shared" si="229"/>
        <v>#VALUE!</v>
      </c>
      <c r="J312" s="47" t="e">
        <f t="shared" si="230"/>
        <v>#VALUE!</v>
      </c>
      <c r="K312" s="47" t="e">
        <f t="shared" si="231"/>
        <v>#VALUE!</v>
      </c>
      <c r="L312" s="49" t="e">
        <f t="shared" si="232"/>
        <v>#VALUE!</v>
      </c>
      <c r="M312" s="50" t="e">
        <f t="shared" si="233"/>
        <v>#VALUE!</v>
      </c>
      <c r="N312" s="51" t="e">
        <f t="shared" si="234"/>
        <v>#VALUE!</v>
      </c>
      <c r="O312" s="52" t="e">
        <f t="shared" si="235"/>
        <v>#VALUE!</v>
      </c>
      <c r="P312" s="28"/>
    </row>
    <row r="313" spans="1:16" x14ac:dyDescent="0.45">
      <c r="A313" s="112">
        <f t="shared" si="225"/>
        <v>0</v>
      </c>
      <c r="B313" s="114" t="str">
        <f>IF(mtx_base_6!B23 = "","",mtx_base_6!B23)</f>
        <v/>
      </c>
      <c r="C313" s="114" t="str">
        <f>IF(mtx_base_6!C23 = "","",mtx_base_6!C23)</f>
        <v/>
      </c>
      <c r="D313" s="45" t="e">
        <f t="shared" si="213"/>
        <v>#DIV/0!</v>
      </c>
      <c r="E313" s="77" t="e">
        <f t="shared" si="214"/>
        <v>#DIV/0!</v>
      </c>
      <c r="F313" s="47" t="e">
        <f t="shared" si="226"/>
        <v>#DIV/0!</v>
      </c>
      <c r="G313" s="48" t="e">
        <f t="shared" si="227"/>
        <v>#VALUE!</v>
      </c>
      <c r="H313" s="48" t="e">
        <f t="shared" si="228"/>
        <v>#VALUE!</v>
      </c>
      <c r="I313" s="47" t="e">
        <f t="shared" si="229"/>
        <v>#VALUE!</v>
      </c>
      <c r="J313" s="47" t="e">
        <f t="shared" si="230"/>
        <v>#VALUE!</v>
      </c>
      <c r="K313" s="47" t="e">
        <f t="shared" si="231"/>
        <v>#VALUE!</v>
      </c>
      <c r="L313" s="49" t="e">
        <f t="shared" si="232"/>
        <v>#VALUE!</v>
      </c>
      <c r="M313" s="50" t="e">
        <f t="shared" si="233"/>
        <v>#VALUE!</v>
      </c>
      <c r="N313" s="51" t="e">
        <f t="shared" si="234"/>
        <v>#VALUE!</v>
      </c>
      <c r="O313" s="52" t="e">
        <f t="shared" si="235"/>
        <v>#VALUE!</v>
      </c>
      <c r="P313" s="28"/>
    </row>
    <row r="314" spans="1:16" x14ac:dyDescent="0.45">
      <c r="A314" s="112">
        <f t="shared" si="225"/>
        <v>0</v>
      </c>
      <c r="B314" s="114" t="str">
        <f>IF(mtx_base_6!B24 = "","",mtx_base_6!B24)</f>
        <v/>
      </c>
      <c r="C314" s="114" t="str">
        <f>IF(mtx_base_6!C24 = "","",mtx_base_6!C24)</f>
        <v/>
      </c>
      <c r="D314" s="45" t="e">
        <f t="shared" si="213"/>
        <v>#DIV/0!</v>
      </c>
      <c r="E314" s="77" t="e">
        <f t="shared" si="214"/>
        <v>#DIV/0!</v>
      </c>
      <c r="F314" s="47" t="e">
        <f t="shared" si="226"/>
        <v>#DIV/0!</v>
      </c>
      <c r="G314" s="48" t="e">
        <f t="shared" si="227"/>
        <v>#VALUE!</v>
      </c>
      <c r="H314" s="48" t="e">
        <f t="shared" si="228"/>
        <v>#VALUE!</v>
      </c>
      <c r="I314" s="47" t="e">
        <f t="shared" si="229"/>
        <v>#VALUE!</v>
      </c>
      <c r="J314" s="47" t="e">
        <f t="shared" si="230"/>
        <v>#VALUE!</v>
      </c>
      <c r="K314" s="47" t="e">
        <f t="shared" si="231"/>
        <v>#VALUE!</v>
      </c>
      <c r="L314" s="49" t="e">
        <f t="shared" si="232"/>
        <v>#VALUE!</v>
      </c>
      <c r="M314" s="50" t="e">
        <f t="shared" si="233"/>
        <v>#VALUE!</v>
      </c>
      <c r="N314" s="51" t="e">
        <f t="shared" si="234"/>
        <v>#VALUE!</v>
      </c>
      <c r="O314" s="52" t="e">
        <f t="shared" si="235"/>
        <v>#VALUE!</v>
      </c>
      <c r="P314" s="28"/>
    </row>
    <row r="315" spans="1:16" x14ac:dyDescent="0.45">
      <c r="A315" s="112">
        <f t="shared" si="225"/>
        <v>0</v>
      </c>
      <c r="B315" s="114" t="str">
        <f>IF(mtx_base_6!B25 = "","",mtx_base_6!B25)</f>
        <v/>
      </c>
      <c r="C315" s="114" t="str">
        <f>IF(mtx_base_6!C25 = "","",mtx_base_6!C25)</f>
        <v/>
      </c>
      <c r="D315" s="45" t="e">
        <f t="shared" si="213"/>
        <v>#DIV/0!</v>
      </c>
      <c r="E315" s="77" t="e">
        <f t="shared" si="214"/>
        <v>#DIV/0!</v>
      </c>
      <c r="F315" s="47" t="e">
        <f t="shared" si="226"/>
        <v>#DIV/0!</v>
      </c>
      <c r="G315" s="48" t="e">
        <f t="shared" si="227"/>
        <v>#VALUE!</v>
      </c>
      <c r="H315" s="48" t="e">
        <f t="shared" si="228"/>
        <v>#VALUE!</v>
      </c>
      <c r="I315" s="47" t="e">
        <f t="shared" si="229"/>
        <v>#VALUE!</v>
      </c>
      <c r="J315" s="47" t="e">
        <f t="shared" si="230"/>
        <v>#VALUE!</v>
      </c>
      <c r="K315" s="47" t="e">
        <f t="shared" si="231"/>
        <v>#VALUE!</v>
      </c>
      <c r="L315" s="49" t="e">
        <f t="shared" si="232"/>
        <v>#VALUE!</v>
      </c>
      <c r="M315" s="50" t="e">
        <f t="shared" si="233"/>
        <v>#VALUE!</v>
      </c>
      <c r="N315" s="51" t="e">
        <f t="shared" si="234"/>
        <v>#VALUE!</v>
      </c>
      <c r="O315" s="52" t="e">
        <f t="shared" si="235"/>
        <v>#VALUE!</v>
      </c>
      <c r="P315" s="28"/>
    </row>
    <row r="316" spans="1:16" x14ac:dyDescent="0.45">
      <c r="A316" s="112">
        <f t="shared" si="225"/>
        <v>0</v>
      </c>
      <c r="B316" s="114" t="str">
        <f>IF(mtx_base_6!B26 = "","",mtx_base_6!B26)</f>
        <v/>
      </c>
      <c r="C316" s="114" t="str">
        <f>IF(mtx_base_6!C26 = "","",mtx_base_6!C26)</f>
        <v/>
      </c>
      <c r="D316" s="45" t="e">
        <f t="shared" si="213"/>
        <v>#DIV/0!</v>
      </c>
      <c r="E316" s="77" t="e">
        <f t="shared" si="214"/>
        <v>#DIV/0!</v>
      </c>
      <c r="F316" s="47" t="e">
        <f t="shared" si="226"/>
        <v>#DIV/0!</v>
      </c>
      <c r="G316" s="48" t="e">
        <f t="shared" si="227"/>
        <v>#VALUE!</v>
      </c>
      <c r="H316" s="48" t="e">
        <f t="shared" si="228"/>
        <v>#VALUE!</v>
      </c>
      <c r="I316" s="47" t="e">
        <f t="shared" si="229"/>
        <v>#VALUE!</v>
      </c>
      <c r="J316" s="47" t="e">
        <f t="shared" si="230"/>
        <v>#VALUE!</v>
      </c>
      <c r="K316" s="47" t="e">
        <f t="shared" si="231"/>
        <v>#VALUE!</v>
      </c>
      <c r="L316" s="49" t="e">
        <f t="shared" si="232"/>
        <v>#VALUE!</v>
      </c>
      <c r="M316" s="50" t="e">
        <f t="shared" si="233"/>
        <v>#VALUE!</v>
      </c>
      <c r="N316" s="51" t="e">
        <f t="shared" si="234"/>
        <v>#VALUE!</v>
      </c>
      <c r="O316" s="52" t="e">
        <f t="shared" si="235"/>
        <v>#VALUE!</v>
      </c>
      <c r="P316" s="28"/>
    </row>
    <row r="317" spans="1:16" x14ac:dyDescent="0.45">
      <c r="A317" s="112">
        <f t="shared" si="225"/>
        <v>0</v>
      </c>
      <c r="B317" s="114" t="str">
        <f>IF(mtx_base_6!B27 = "","",mtx_base_6!B27)</f>
        <v/>
      </c>
      <c r="C317" s="114" t="str">
        <f>IF(mtx_base_6!C27 = "","",mtx_base_6!C27)</f>
        <v/>
      </c>
      <c r="D317" s="45" t="e">
        <f t="shared" si="213"/>
        <v>#DIV/0!</v>
      </c>
      <c r="E317" s="77" t="e">
        <f t="shared" si="214"/>
        <v>#DIV/0!</v>
      </c>
      <c r="F317" s="47" t="e">
        <f t="shared" si="226"/>
        <v>#DIV/0!</v>
      </c>
      <c r="G317" s="48" t="e">
        <f t="shared" si="227"/>
        <v>#VALUE!</v>
      </c>
      <c r="H317" s="48" t="e">
        <f t="shared" si="228"/>
        <v>#VALUE!</v>
      </c>
      <c r="I317" s="47" t="e">
        <f t="shared" si="229"/>
        <v>#VALUE!</v>
      </c>
      <c r="J317" s="47" t="e">
        <f t="shared" si="230"/>
        <v>#VALUE!</v>
      </c>
      <c r="K317" s="47" t="e">
        <f t="shared" si="231"/>
        <v>#VALUE!</v>
      </c>
      <c r="L317" s="49" t="e">
        <f t="shared" si="232"/>
        <v>#VALUE!</v>
      </c>
      <c r="M317" s="50" t="e">
        <f t="shared" si="233"/>
        <v>#VALUE!</v>
      </c>
      <c r="N317" s="51" t="e">
        <f t="shared" si="234"/>
        <v>#VALUE!</v>
      </c>
      <c r="O317" s="52" t="e">
        <f t="shared" si="235"/>
        <v>#VALUE!</v>
      </c>
      <c r="P317" s="28"/>
    </row>
    <row r="318" spans="1:16" x14ac:dyDescent="0.45">
      <c r="A318" s="112">
        <f t="shared" si="225"/>
        <v>0</v>
      </c>
      <c r="B318" s="114" t="str">
        <f>IF(mtx_base_6!B28 = "","",mtx_base_6!B28)</f>
        <v/>
      </c>
      <c r="C318" s="114" t="str">
        <f>IF(mtx_base_6!C28 = "","",mtx_base_6!C28)</f>
        <v/>
      </c>
      <c r="D318" s="45" t="e">
        <f t="shared" si="213"/>
        <v>#DIV/0!</v>
      </c>
      <c r="E318" s="77" t="e">
        <f t="shared" si="214"/>
        <v>#DIV/0!</v>
      </c>
      <c r="F318" s="47" t="e">
        <f t="shared" si="226"/>
        <v>#DIV/0!</v>
      </c>
      <c r="G318" s="48" t="e">
        <f t="shared" si="227"/>
        <v>#VALUE!</v>
      </c>
      <c r="H318" s="48" t="e">
        <f t="shared" si="228"/>
        <v>#VALUE!</v>
      </c>
      <c r="I318" s="47" t="e">
        <f t="shared" si="229"/>
        <v>#VALUE!</v>
      </c>
      <c r="J318" s="47" t="e">
        <f t="shared" si="230"/>
        <v>#VALUE!</v>
      </c>
      <c r="K318" s="47" t="e">
        <f t="shared" si="231"/>
        <v>#VALUE!</v>
      </c>
      <c r="L318" s="49" t="e">
        <f t="shared" si="232"/>
        <v>#VALUE!</v>
      </c>
      <c r="M318" s="50" t="e">
        <f t="shared" si="233"/>
        <v>#VALUE!</v>
      </c>
      <c r="N318" s="51" t="e">
        <f t="shared" si="234"/>
        <v>#VALUE!</v>
      </c>
      <c r="O318" s="52" t="e">
        <f t="shared" si="235"/>
        <v>#VALUE!</v>
      </c>
      <c r="P318" s="28"/>
    </row>
    <row r="319" spans="1:16" x14ac:dyDescent="0.45">
      <c r="A319" s="112">
        <f t="shared" si="225"/>
        <v>0</v>
      </c>
      <c r="B319" s="114" t="str">
        <f>IF(mtx_base_6!B29 = "","",mtx_base_6!B29)</f>
        <v/>
      </c>
      <c r="C319" s="114" t="str">
        <f>IF(mtx_base_6!C29 = "","",mtx_base_6!C29)</f>
        <v/>
      </c>
      <c r="D319" s="45" t="e">
        <f t="shared" si="213"/>
        <v>#DIV/0!</v>
      </c>
      <c r="E319" s="77" t="e">
        <f t="shared" si="214"/>
        <v>#DIV/0!</v>
      </c>
      <c r="F319" s="47" t="e">
        <f t="shared" si="226"/>
        <v>#DIV/0!</v>
      </c>
      <c r="G319" s="48" t="e">
        <f t="shared" si="227"/>
        <v>#VALUE!</v>
      </c>
      <c r="H319" s="48" t="e">
        <f t="shared" si="228"/>
        <v>#VALUE!</v>
      </c>
      <c r="I319" s="47" t="e">
        <f t="shared" si="229"/>
        <v>#VALUE!</v>
      </c>
      <c r="J319" s="47" t="e">
        <f t="shared" si="230"/>
        <v>#VALUE!</v>
      </c>
      <c r="K319" s="47" t="e">
        <f t="shared" si="231"/>
        <v>#VALUE!</v>
      </c>
      <c r="L319" s="49" t="e">
        <f t="shared" si="232"/>
        <v>#VALUE!</v>
      </c>
      <c r="M319" s="50" t="e">
        <f t="shared" si="233"/>
        <v>#VALUE!</v>
      </c>
      <c r="N319" s="51" t="e">
        <f t="shared" si="234"/>
        <v>#VALUE!</v>
      </c>
      <c r="O319" s="52" t="e">
        <f t="shared" si="235"/>
        <v>#VALUE!</v>
      </c>
      <c r="P319" s="28"/>
    </row>
    <row r="320" spans="1:16" x14ac:dyDescent="0.45">
      <c r="A320" s="112">
        <f t="shared" si="225"/>
        <v>0</v>
      </c>
      <c r="B320" s="114" t="str">
        <f>IF(mtx_base_6!B30 = "","",mtx_base_6!B30)</f>
        <v/>
      </c>
      <c r="C320" s="114" t="str">
        <f>IF(mtx_base_6!C30 = "","",mtx_base_6!C30)</f>
        <v/>
      </c>
      <c r="D320" s="45" t="e">
        <f t="shared" si="213"/>
        <v>#DIV/0!</v>
      </c>
      <c r="E320" s="77" t="e">
        <f t="shared" si="214"/>
        <v>#DIV/0!</v>
      </c>
      <c r="F320" s="47" t="e">
        <f t="shared" si="226"/>
        <v>#DIV/0!</v>
      </c>
      <c r="G320" s="48" t="e">
        <f t="shared" si="227"/>
        <v>#VALUE!</v>
      </c>
      <c r="H320" s="48" t="e">
        <f t="shared" si="228"/>
        <v>#VALUE!</v>
      </c>
      <c r="I320" s="47" t="e">
        <f t="shared" si="229"/>
        <v>#VALUE!</v>
      </c>
      <c r="J320" s="47" t="e">
        <f t="shared" si="230"/>
        <v>#VALUE!</v>
      </c>
      <c r="K320" s="47" t="e">
        <f t="shared" si="231"/>
        <v>#VALUE!</v>
      </c>
      <c r="L320" s="49" t="e">
        <f t="shared" si="232"/>
        <v>#VALUE!</v>
      </c>
      <c r="M320" s="50" t="e">
        <f t="shared" si="233"/>
        <v>#VALUE!</v>
      </c>
      <c r="N320" s="51" t="e">
        <f t="shared" si="234"/>
        <v>#VALUE!</v>
      </c>
      <c r="O320" s="52" t="e">
        <f t="shared" si="235"/>
        <v>#VALUE!</v>
      </c>
      <c r="P320" s="28"/>
    </row>
    <row r="321" spans="1:16" x14ac:dyDescent="0.45">
      <c r="A321" s="112">
        <f t="shared" si="225"/>
        <v>0</v>
      </c>
      <c r="B321" s="114" t="str">
        <f>IF(mtx_base_6!B31 = "","",mtx_base_6!B31)</f>
        <v/>
      </c>
      <c r="C321" s="114" t="str">
        <f>IF(mtx_base_6!C31 = "","",mtx_base_6!C31)</f>
        <v/>
      </c>
      <c r="D321" s="45" t="e">
        <f t="shared" si="213"/>
        <v>#DIV/0!</v>
      </c>
      <c r="E321" s="77" t="e">
        <f t="shared" si="214"/>
        <v>#DIV/0!</v>
      </c>
      <c r="F321" s="47" t="e">
        <f t="shared" si="226"/>
        <v>#DIV/0!</v>
      </c>
      <c r="G321" s="48" t="e">
        <f t="shared" si="227"/>
        <v>#VALUE!</v>
      </c>
      <c r="H321" s="48" t="e">
        <f t="shared" si="228"/>
        <v>#VALUE!</v>
      </c>
      <c r="I321" s="47" t="e">
        <f t="shared" si="229"/>
        <v>#VALUE!</v>
      </c>
      <c r="J321" s="47" t="e">
        <f t="shared" si="230"/>
        <v>#VALUE!</v>
      </c>
      <c r="K321" s="47" t="e">
        <f t="shared" si="231"/>
        <v>#VALUE!</v>
      </c>
      <c r="L321" s="49" t="e">
        <f t="shared" si="232"/>
        <v>#VALUE!</v>
      </c>
      <c r="M321" s="50" t="e">
        <f t="shared" si="233"/>
        <v>#VALUE!</v>
      </c>
      <c r="N321" s="51" t="e">
        <f t="shared" si="234"/>
        <v>#VALUE!</v>
      </c>
      <c r="O321" s="52" t="e">
        <f t="shared" si="235"/>
        <v>#VALUE!</v>
      </c>
      <c r="P321" s="28"/>
    </row>
    <row r="322" spans="1:16" x14ac:dyDescent="0.45">
      <c r="A322" s="112">
        <f t="shared" si="225"/>
        <v>0</v>
      </c>
      <c r="B322" s="114" t="str">
        <f>IF(mtx_base_6!B32 = "","",mtx_base_6!B32)</f>
        <v/>
      </c>
      <c r="C322" s="114" t="str">
        <f>IF(mtx_base_6!C32 = "","",mtx_base_6!C32)</f>
        <v/>
      </c>
      <c r="D322" s="45" t="e">
        <f t="shared" si="213"/>
        <v>#DIV/0!</v>
      </c>
      <c r="E322" s="77" t="e">
        <f t="shared" si="214"/>
        <v>#DIV/0!</v>
      </c>
      <c r="F322" s="47" t="e">
        <f t="shared" si="226"/>
        <v>#DIV/0!</v>
      </c>
      <c r="G322" s="48" t="e">
        <f t="shared" si="227"/>
        <v>#VALUE!</v>
      </c>
      <c r="H322" s="48" t="e">
        <f t="shared" si="228"/>
        <v>#VALUE!</v>
      </c>
      <c r="I322" s="47" t="e">
        <f t="shared" si="229"/>
        <v>#VALUE!</v>
      </c>
      <c r="J322" s="47" t="e">
        <f t="shared" si="230"/>
        <v>#VALUE!</v>
      </c>
      <c r="K322" s="47" t="e">
        <f t="shared" si="231"/>
        <v>#VALUE!</v>
      </c>
      <c r="L322" s="49" t="e">
        <f t="shared" si="232"/>
        <v>#VALUE!</v>
      </c>
      <c r="M322" s="50" t="e">
        <f t="shared" si="233"/>
        <v>#VALUE!</v>
      </c>
      <c r="N322" s="51" t="e">
        <f t="shared" si="234"/>
        <v>#VALUE!</v>
      </c>
      <c r="O322" s="52" t="e">
        <f t="shared" si="235"/>
        <v>#VALUE!</v>
      </c>
      <c r="P322" s="28"/>
    </row>
    <row r="323" spans="1:16" x14ac:dyDescent="0.45">
      <c r="A323" s="112">
        <f t="shared" si="225"/>
        <v>0</v>
      </c>
      <c r="B323" s="114" t="str">
        <f>IF(mtx_base_6!B33 = "","",mtx_base_6!B33)</f>
        <v/>
      </c>
      <c r="C323" s="114" t="str">
        <f>IF(mtx_base_6!C33 = "","",mtx_base_6!C33)</f>
        <v/>
      </c>
      <c r="D323" s="45" t="e">
        <f t="shared" si="213"/>
        <v>#DIV/0!</v>
      </c>
      <c r="E323" s="77" t="e">
        <f t="shared" si="214"/>
        <v>#DIV/0!</v>
      </c>
      <c r="F323" s="47" t="e">
        <f t="shared" si="226"/>
        <v>#DIV/0!</v>
      </c>
      <c r="G323" s="48" t="e">
        <f t="shared" si="227"/>
        <v>#VALUE!</v>
      </c>
      <c r="H323" s="48" t="e">
        <f t="shared" si="228"/>
        <v>#VALUE!</v>
      </c>
      <c r="I323" s="47" t="e">
        <f t="shared" si="229"/>
        <v>#VALUE!</v>
      </c>
      <c r="J323" s="47" t="e">
        <f t="shared" si="230"/>
        <v>#VALUE!</v>
      </c>
      <c r="K323" s="47" t="e">
        <f t="shared" si="231"/>
        <v>#VALUE!</v>
      </c>
      <c r="L323" s="49" t="e">
        <f t="shared" si="232"/>
        <v>#VALUE!</v>
      </c>
      <c r="M323" s="50" t="e">
        <f t="shared" si="233"/>
        <v>#VALUE!</v>
      </c>
      <c r="N323" s="51" t="e">
        <f t="shared" si="234"/>
        <v>#VALUE!</v>
      </c>
      <c r="O323" s="52" t="e">
        <f t="shared" si="235"/>
        <v>#VALUE!</v>
      </c>
      <c r="P323" s="28"/>
    </row>
    <row r="324" spans="1:16" x14ac:dyDescent="0.45">
      <c r="A324" s="112">
        <f t="shared" si="225"/>
        <v>0</v>
      </c>
      <c r="B324" s="114" t="str">
        <f>IF(mtx_base_6!B34 = "","",mtx_base_6!B34)</f>
        <v/>
      </c>
      <c r="C324" s="114" t="str">
        <f>IF(mtx_base_6!C34 = "","",mtx_base_6!C34)</f>
        <v/>
      </c>
      <c r="D324" s="45" t="e">
        <f t="shared" si="213"/>
        <v>#DIV/0!</v>
      </c>
      <c r="E324" s="77" t="e">
        <f t="shared" si="214"/>
        <v>#DIV/0!</v>
      </c>
      <c r="F324" s="47" t="e">
        <f t="shared" si="226"/>
        <v>#DIV/0!</v>
      </c>
      <c r="G324" s="48" t="e">
        <f t="shared" si="227"/>
        <v>#VALUE!</v>
      </c>
      <c r="H324" s="48" t="e">
        <f t="shared" si="228"/>
        <v>#VALUE!</v>
      </c>
      <c r="I324" s="47" t="e">
        <f t="shared" si="229"/>
        <v>#VALUE!</v>
      </c>
      <c r="J324" s="47" t="e">
        <f t="shared" si="230"/>
        <v>#VALUE!</v>
      </c>
      <c r="K324" s="47" t="e">
        <f t="shared" si="231"/>
        <v>#VALUE!</v>
      </c>
      <c r="L324" s="49" t="e">
        <f t="shared" si="232"/>
        <v>#VALUE!</v>
      </c>
      <c r="M324" s="50" t="e">
        <f t="shared" si="233"/>
        <v>#VALUE!</v>
      </c>
      <c r="N324" s="51" t="e">
        <f t="shared" si="234"/>
        <v>#VALUE!</v>
      </c>
      <c r="O324" s="52" t="e">
        <f t="shared" si="235"/>
        <v>#VALUE!</v>
      </c>
      <c r="P324" s="28"/>
    </row>
    <row r="325" spans="1:16" x14ac:dyDescent="0.45">
      <c r="A325" s="112">
        <f t="shared" si="225"/>
        <v>0</v>
      </c>
      <c r="B325" s="114" t="str">
        <f>IF(mtx_base_6!B35 = "","",mtx_base_6!B35)</f>
        <v/>
      </c>
      <c r="C325" s="114" t="str">
        <f>IF(mtx_base_6!C35 = "","",mtx_base_6!C35)</f>
        <v/>
      </c>
      <c r="D325" s="45" t="e">
        <f t="shared" si="213"/>
        <v>#DIV/0!</v>
      </c>
      <c r="E325" s="77" t="e">
        <f t="shared" si="214"/>
        <v>#DIV/0!</v>
      </c>
      <c r="F325" s="47" t="e">
        <f t="shared" si="226"/>
        <v>#DIV/0!</v>
      </c>
      <c r="G325" s="48" t="e">
        <f t="shared" si="227"/>
        <v>#VALUE!</v>
      </c>
      <c r="H325" s="48" t="e">
        <f t="shared" si="228"/>
        <v>#VALUE!</v>
      </c>
      <c r="I325" s="47" t="e">
        <f t="shared" si="229"/>
        <v>#VALUE!</v>
      </c>
      <c r="J325" s="47" t="e">
        <f t="shared" si="230"/>
        <v>#VALUE!</v>
      </c>
      <c r="K325" s="47" t="e">
        <f t="shared" si="231"/>
        <v>#VALUE!</v>
      </c>
      <c r="L325" s="49" t="e">
        <f t="shared" si="232"/>
        <v>#VALUE!</v>
      </c>
      <c r="M325" s="50" t="e">
        <f t="shared" si="233"/>
        <v>#VALUE!</v>
      </c>
      <c r="N325" s="51" t="e">
        <f t="shared" si="234"/>
        <v>#VALUE!</v>
      </c>
      <c r="O325" s="52" t="e">
        <f t="shared" si="235"/>
        <v>#VALUE!</v>
      </c>
      <c r="P325" s="28"/>
    </row>
    <row r="326" spans="1:16" x14ac:dyDescent="0.45">
      <c r="A326" s="112">
        <f t="shared" si="225"/>
        <v>0</v>
      </c>
      <c r="B326" s="114" t="str">
        <f>IF(mtx_base_6!B36 = "","",mtx_base_6!B36)</f>
        <v/>
      </c>
      <c r="C326" s="114" t="str">
        <f>IF(mtx_base_6!C36 = "","",mtx_base_6!C36)</f>
        <v/>
      </c>
      <c r="D326" s="45" t="e">
        <f t="shared" si="213"/>
        <v>#DIV/0!</v>
      </c>
      <c r="E326" s="77" t="e">
        <f t="shared" si="214"/>
        <v>#DIV/0!</v>
      </c>
      <c r="F326" s="47" t="e">
        <f t="shared" si="226"/>
        <v>#DIV/0!</v>
      </c>
      <c r="G326" s="48" t="e">
        <f t="shared" si="227"/>
        <v>#VALUE!</v>
      </c>
      <c r="H326" s="48" t="e">
        <f t="shared" si="228"/>
        <v>#VALUE!</v>
      </c>
      <c r="I326" s="47" t="e">
        <f t="shared" si="229"/>
        <v>#VALUE!</v>
      </c>
      <c r="J326" s="47" t="e">
        <f t="shared" si="230"/>
        <v>#VALUE!</v>
      </c>
      <c r="K326" s="47" t="e">
        <f t="shared" si="231"/>
        <v>#VALUE!</v>
      </c>
      <c r="L326" s="49" t="e">
        <f t="shared" si="232"/>
        <v>#VALUE!</v>
      </c>
      <c r="M326" s="50" t="e">
        <f t="shared" si="233"/>
        <v>#VALUE!</v>
      </c>
      <c r="N326" s="51" t="e">
        <f t="shared" si="234"/>
        <v>#VALUE!</v>
      </c>
      <c r="O326" s="52" t="e">
        <f t="shared" si="235"/>
        <v>#VALUE!</v>
      </c>
      <c r="P326" s="28"/>
    </row>
    <row r="327" spans="1:16" x14ac:dyDescent="0.45">
      <c r="A327" s="112">
        <f t="shared" si="225"/>
        <v>0</v>
      </c>
      <c r="B327" s="114" t="str">
        <f>IF(mtx_base_6!B37 = "","",mtx_base_6!B37)</f>
        <v/>
      </c>
      <c r="C327" s="114" t="str">
        <f>IF(mtx_base_6!C37 = "","",mtx_base_6!C37)</f>
        <v/>
      </c>
      <c r="D327" s="45" t="e">
        <f t="shared" si="213"/>
        <v>#DIV/0!</v>
      </c>
      <c r="E327" s="77" t="e">
        <f t="shared" si="214"/>
        <v>#DIV/0!</v>
      </c>
      <c r="F327" s="47" t="e">
        <f t="shared" si="226"/>
        <v>#DIV/0!</v>
      </c>
      <c r="G327" s="48" t="e">
        <f t="shared" si="227"/>
        <v>#VALUE!</v>
      </c>
      <c r="H327" s="48" t="e">
        <f t="shared" si="228"/>
        <v>#VALUE!</v>
      </c>
      <c r="I327" s="47" t="e">
        <f t="shared" si="229"/>
        <v>#VALUE!</v>
      </c>
      <c r="J327" s="47" t="e">
        <f t="shared" si="230"/>
        <v>#VALUE!</v>
      </c>
      <c r="K327" s="47" t="e">
        <f t="shared" si="231"/>
        <v>#VALUE!</v>
      </c>
      <c r="L327" s="49" t="e">
        <f t="shared" si="232"/>
        <v>#VALUE!</v>
      </c>
      <c r="M327" s="50" t="e">
        <f t="shared" si="233"/>
        <v>#VALUE!</v>
      </c>
      <c r="N327" s="51" t="e">
        <f t="shared" si="234"/>
        <v>#VALUE!</v>
      </c>
      <c r="O327" s="52" t="e">
        <f t="shared" si="235"/>
        <v>#VALUE!</v>
      </c>
      <c r="P327" s="28"/>
    </row>
    <row r="328" spans="1:16" x14ac:dyDescent="0.45">
      <c r="A328" s="112">
        <f t="shared" si="225"/>
        <v>0</v>
      </c>
      <c r="B328" s="114" t="str">
        <f>IF(mtx_base_6!B38 = "","",mtx_base_6!B38)</f>
        <v/>
      </c>
      <c r="C328" s="114" t="str">
        <f>IF(mtx_base_6!C38 = "","",mtx_base_6!C38)</f>
        <v/>
      </c>
      <c r="D328" s="45" t="e">
        <f t="shared" si="213"/>
        <v>#DIV/0!</v>
      </c>
      <c r="E328" s="77" t="e">
        <f t="shared" si="214"/>
        <v>#DIV/0!</v>
      </c>
      <c r="F328" s="47" t="e">
        <f t="shared" si="226"/>
        <v>#DIV/0!</v>
      </c>
      <c r="G328" s="48" t="e">
        <f t="shared" si="227"/>
        <v>#VALUE!</v>
      </c>
      <c r="H328" s="48" t="e">
        <f t="shared" si="228"/>
        <v>#VALUE!</v>
      </c>
      <c r="I328" s="47" t="e">
        <f t="shared" si="229"/>
        <v>#VALUE!</v>
      </c>
      <c r="J328" s="47" t="e">
        <f t="shared" si="230"/>
        <v>#VALUE!</v>
      </c>
      <c r="K328" s="47" t="e">
        <f t="shared" si="231"/>
        <v>#VALUE!</v>
      </c>
      <c r="L328" s="49" t="e">
        <f t="shared" si="232"/>
        <v>#VALUE!</v>
      </c>
      <c r="M328" s="50" t="e">
        <f t="shared" si="233"/>
        <v>#VALUE!</v>
      </c>
      <c r="N328" s="51" t="e">
        <f t="shared" si="234"/>
        <v>#VALUE!</v>
      </c>
      <c r="O328" s="52" t="e">
        <f t="shared" si="235"/>
        <v>#VALUE!</v>
      </c>
      <c r="P328" s="28"/>
    </row>
    <row r="329" spans="1:16" x14ac:dyDescent="0.45">
      <c r="A329" s="112">
        <f t="shared" si="225"/>
        <v>0</v>
      </c>
      <c r="B329" s="114" t="str">
        <f>IF(mtx_base_6!B39 = "","",mtx_base_6!B39)</f>
        <v/>
      </c>
      <c r="C329" s="114" t="str">
        <f>IF(mtx_base_6!C39 = "","",mtx_base_6!C39)</f>
        <v/>
      </c>
      <c r="D329" s="45" t="e">
        <f t="shared" si="213"/>
        <v>#DIV/0!</v>
      </c>
      <c r="E329" s="77" t="e">
        <f t="shared" si="214"/>
        <v>#DIV/0!</v>
      </c>
      <c r="F329" s="47" t="e">
        <f t="shared" si="226"/>
        <v>#DIV/0!</v>
      </c>
      <c r="G329" s="48" t="e">
        <f t="shared" si="227"/>
        <v>#VALUE!</v>
      </c>
      <c r="H329" s="48" t="e">
        <f t="shared" si="228"/>
        <v>#VALUE!</v>
      </c>
      <c r="I329" s="47" t="e">
        <f t="shared" si="229"/>
        <v>#VALUE!</v>
      </c>
      <c r="J329" s="47" t="e">
        <f t="shared" si="230"/>
        <v>#VALUE!</v>
      </c>
      <c r="K329" s="47" t="e">
        <f t="shared" si="231"/>
        <v>#VALUE!</v>
      </c>
      <c r="L329" s="49" t="e">
        <f t="shared" si="232"/>
        <v>#VALUE!</v>
      </c>
      <c r="M329" s="50" t="e">
        <f t="shared" si="233"/>
        <v>#VALUE!</v>
      </c>
      <c r="N329" s="51" t="e">
        <f t="shared" si="234"/>
        <v>#VALUE!</v>
      </c>
      <c r="O329" s="52" t="e">
        <f t="shared" si="235"/>
        <v>#VALUE!</v>
      </c>
      <c r="P329" s="28"/>
    </row>
    <row r="330" spans="1:16" x14ac:dyDescent="0.45">
      <c r="A330" s="112">
        <f t="shared" si="225"/>
        <v>0</v>
      </c>
      <c r="B330" s="114" t="str">
        <f>IF(mtx_base_6!B40 = "","",mtx_base_6!B40)</f>
        <v/>
      </c>
      <c r="C330" s="114" t="str">
        <f>IF(mtx_base_6!C40 = "","",mtx_base_6!C40)</f>
        <v/>
      </c>
      <c r="D330" s="45" t="e">
        <f t="shared" si="213"/>
        <v>#DIV/0!</v>
      </c>
      <c r="E330" s="77" t="e">
        <f t="shared" si="214"/>
        <v>#DIV/0!</v>
      </c>
      <c r="F330" s="47" t="e">
        <f t="shared" si="226"/>
        <v>#DIV/0!</v>
      </c>
      <c r="G330" s="48" t="e">
        <f t="shared" si="227"/>
        <v>#VALUE!</v>
      </c>
      <c r="H330" s="48" t="e">
        <f t="shared" si="228"/>
        <v>#VALUE!</v>
      </c>
      <c r="I330" s="47" t="e">
        <f t="shared" si="229"/>
        <v>#VALUE!</v>
      </c>
      <c r="J330" s="47" t="e">
        <f t="shared" si="230"/>
        <v>#VALUE!</v>
      </c>
      <c r="K330" s="47" t="e">
        <f t="shared" si="231"/>
        <v>#VALUE!</v>
      </c>
      <c r="L330" s="49" t="e">
        <f t="shared" si="232"/>
        <v>#VALUE!</v>
      </c>
      <c r="M330" s="50" t="e">
        <f t="shared" si="233"/>
        <v>#VALUE!</v>
      </c>
      <c r="N330" s="51" t="e">
        <f t="shared" si="234"/>
        <v>#VALUE!</v>
      </c>
      <c r="O330" s="52" t="e">
        <f t="shared" si="235"/>
        <v>#VALUE!</v>
      </c>
      <c r="P330" s="28"/>
    </row>
    <row r="331" spans="1:16" x14ac:dyDescent="0.45">
      <c r="A331" s="112">
        <f t="shared" si="225"/>
        <v>0</v>
      </c>
      <c r="B331" s="114" t="str">
        <f>IF(mtx_base_6!B41 = "","",mtx_base_6!B41)</f>
        <v/>
      </c>
      <c r="C331" s="114" t="str">
        <f>IF(mtx_base_6!C41 = "","",mtx_base_6!C41)</f>
        <v/>
      </c>
      <c r="D331" s="45" t="e">
        <f t="shared" si="213"/>
        <v>#DIV/0!</v>
      </c>
      <c r="E331" s="77" t="e">
        <f t="shared" si="214"/>
        <v>#DIV/0!</v>
      </c>
      <c r="F331" s="47" t="e">
        <f t="shared" si="226"/>
        <v>#DIV/0!</v>
      </c>
      <c r="G331" s="48" t="e">
        <f t="shared" si="227"/>
        <v>#VALUE!</v>
      </c>
      <c r="H331" s="48" t="e">
        <f t="shared" si="228"/>
        <v>#VALUE!</v>
      </c>
      <c r="I331" s="47" t="e">
        <f t="shared" si="229"/>
        <v>#VALUE!</v>
      </c>
      <c r="J331" s="47" t="e">
        <f t="shared" si="230"/>
        <v>#VALUE!</v>
      </c>
      <c r="K331" s="47" t="e">
        <f t="shared" si="231"/>
        <v>#VALUE!</v>
      </c>
      <c r="L331" s="49" t="e">
        <f t="shared" si="232"/>
        <v>#VALUE!</v>
      </c>
      <c r="M331" s="50" t="e">
        <f t="shared" si="233"/>
        <v>#VALUE!</v>
      </c>
      <c r="N331" s="51" t="e">
        <f t="shared" si="234"/>
        <v>#VALUE!</v>
      </c>
      <c r="O331" s="52" t="e">
        <f t="shared" si="235"/>
        <v>#VALUE!</v>
      </c>
      <c r="P331" s="28"/>
    </row>
    <row r="332" spans="1:16" x14ac:dyDescent="0.45">
      <c r="A332" s="112">
        <f t="shared" si="225"/>
        <v>0</v>
      </c>
      <c r="B332" s="114" t="str">
        <f>IF(mtx_base_6!B42 = "","",mtx_base_6!B42)</f>
        <v/>
      </c>
      <c r="C332" s="114" t="str">
        <f>IF(mtx_base_6!C42 = "","",mtx_base_6!C42)</f>
        <v/>
      </c>
      <c r="D332" s="45" t="e">
        <f t="shared" si="213"/>
        <v>#DIV/0!</v>
      </c>
      <c r="E332" s="77" t="e">
        <f t="shared" si="214"/>
        <v>#DIV/0!</v>
      </c>
      <c r="F332" s="47" t="e">
        <f t="shared" si="226"/>
        <v>#DIV/0!</v>
      </c>
      <c r="G332" s="48" t="e">
        <f t="shared" si="227"/>
        <v>#VALUE!</v>
      </c>
      <c r="H332" s="48" t="e">
        <f t="shared" si="228"/>
        <v>#VALUE!</v>
      </c>
      <c r="I332" s="47" t="e">
        <f t="shared" si="229"/>
        <v>#VALUE!</v>
      </c>
      <c r="J332" s="47" t="e">
        <f t="shared" si="230"/>
        <v>#VALUE!</v>
      </c>
      <c r="K332" s="47" t="e">
        <f t="shared" si="231"/>
        <v>#VALUE!</v>
      </c>
      <c r="L332" s="49" t="e">
        <f t="shared" si="232"/>
        <v>#VALUE!</v>
      </c>
      <c r="M332" s="50" t="e">
        <f t="shared" si="233"/>
        <v>#VALUE!</v>
      </c>
      <c r="N332" s="51" t="e">
        <f t="shared" si="234"/>
        <v>#VALUE!</v>
      </c>
      <c r="O332" s="52" t="e">
        <f t="shared" si="235"/>
        <v>#VALUE!</v>
      </c>
      <c r="P332" s="28"/>
    </row>
    <row r="333" spans="1:16" x14ac:dyDescent="0.45">
      <c r="A333" s="112">
        <f t="shared" si="225"/>
        <v>0</v>
      </c>
      <c r="B333" s="114" t="str">
        <f>IF(mtx_base_6!B43 = "","",mtx_base_6!B43)</f>
        <v/>
      </c>
      <c r="C333" s="114" t="str">
        <f>IF(mtx_base_6!C43 = "","",mtx_base_6!C43)</f>
        <v/>
      </c>
      <c r="D333" s="45" t="e">
        <f t="shared" si="213"/>
        <v>#DIV/0!</v>
      </c>
      <c r="E333" s="77" t="e">
        <f t="shared" si="214"/>
        <v>#DIV/0!</v>
      </c>
      <c r="F333" s="47" t="e">
        <f t="shared" si="226"/>
        <v>#DIV/0!</v>
      </c>
      <c r="G333" s="48" t="e">
        <f t="shared" si="227"/>
        <v>#VALUE!</v>
      </c>
      <c r="H333" s="48" t="e">
        <f t="shared" si="228"/>
        <v>#VALUE!</v>
      </c>
      <c r="I333" s="47" t="e">
        <f t="shared" si="229"/>
        <v>#VALUE!</v>
      </c>
      <c r="J333" s="47" t="e">
        <f t="shared" si="230"/>
        <v>#VALUE!</v>
      </c>
      <c r="K333" s="47" t="e">
        <f t="shared" si="231"/>
        <v>#VALUE!</v>
      </c>
      <c r="L333" s="49" t="e">
        <f t="shared" si="232"/>
        <v>#VALUE!</v>
      </c>
      <c r="M333" s="50" t="e">
        <f t="shared" si="233"/>
        <v>#VALUE!</v>
      </c>
      <c r="N333" s="51" t="e">
        <f t="shared" si="234"/>
        <v>#VALUE!</v>
      </c>
      <c r="O333" s="52" t="e">
        <f t="shared" si="235"/>
        <v>#VALUE!</v>
      </c>
      <c r="P333" s="28"/>
    </row>
    <row r="334" spans="1:16" x14ac:dyDescent="0.45">
      <c r="A334" s="112">
        <f t="shared" si="225"/>
        <v>0</v>
      </c>
      <c r="B334" s="114" t="str">
        <f>IF(mtx_base_6!B44 = "","",mtx_base_6!B44)</f>
        <v/>
      </c>
      <c r="C334" s="114" t="str">
        <f>IF(mtx_base_6!C44 = "","",mtx_base_6!C44)</f>
        <v/>
      </c>
      <c r="D334" s="45" t="e">
        <f t="shared" si="213"/>
        <v>#DIV/0!</v>
      </c>
      <c r="E334" s="77" t="e">
        <f t="shared" si="214"/>
        <v>#DIV/0!</v>
      </c>
      <c r="F334" s="47" t="e">
        <f t="shared" si="226"/>
        <v>#DIV/0!</v>
      </c>
      <c r="G334" s="48" t="e">
        <f t="shared" si="227"/>
        <v>#VALUE!</v>
      </c>
      <c r="H334" s="48" t="e">
        <f t="shared" si="228"/>
        <v>#VALUE!</v>
      </c>
      <c r="I334" s="47" t="e">
        <f t="shared" si="229"/>
        <v>#VALUE!</v>
      </c>
      <c r="J334" s="47" t="e">
        <f t="shared" si="230"/>
        <v>#VALUE!</v>
      </c>
      <c r="K334" s="47" t="e">
        <f t="shared" si="231"/>
        <v>#VALUE!</v>
      </c>
      <c r="L334" s="49" t="e">
        <f t="shared" si="232"/>
        <v>#VALUE!</v>
      </c>
      <c r="M334" s="50" t="e">
        <f t="shared" si="233"/>
        <v>#VALUE!</v>
      </c>
      <c r="N334" s="51" t="e">
        <f t="shared" si="234"/>
        <v>#VALUE!</v>
      </c>
      <c r="O334" s="52" t="e">
        <f t="shared" si="235"/>
        <v>#VALUE!</v>
      </c>
      <c r="P334" s="28"/>
    </row>
    <row r="335" spans="1:16" x14ac:dyDescent="0.45">
      <c r="A335" s="112">
        <f t="shared" si="225"/>
        <v>0</v>
      </c>
      <c r="B335" s="114" t="str">
        <f>IF(mtx_base_6!B45 = "","",mtx_base_6!B45)</f>
        <v/>
      </c>
      <c r="C335" s="114" t="str">
        <f>IF(mtx_base_6!C45 = "","",mtx_base_6!C45)</f>
        <v/>
      </c>
      <c r="D335" s="45" t="e">
        <f t="shared" si="213"/>
        <v>#DIV/0!</v>
      </c>
      <c r="E335" s="77" t="e">
        <f t="shared" si="214"/>
        <v>#DIV/0!</v>
      </c>
      <c r="F335" s="47" t="e">
        <f t="shared" si="226"/>
        <v>#DIV/0!</v>
      </c>
      <c r="G335" s="48" t="e">
        <f t="shared" si="227"/>
        <v>#VALUE!</v>
      </c>
      <c r="H335" s="48" t="e">
        <f t="shared" si="228"/>
        <v>#VALUE!</v>
      </c>
      <c r="I335" s="47" t="e">
        <f t="shared" si="229"/>
        <v>#VALUE!</v>
      </c>
      <c r="J335" s="47" t="e">
        <f t="shared" si="230"/>
        <v>#VALUE!</v>
      </c>
      <c r="K335" s="47" t="e">
        <f t="shared" si="231"/>
        <v>#VALUE!</v>
      </c>
      <c r="L335" s="49" t="e">
        <f t="shared" si="232"/>
        <v>#VALUE!</v>
      </c>
      <c r="M335" s="50" t="e">
        <f t="shared" si="233"/>
        <v>#VALUE!</v>
      </c>
      <c r="N335" s="51" t="e">
        <f t="shared" si="234"/>
        <v>#VALUE!</v>
      </c>
      <c r="O335" s="52" t="e">
        <f t="shared" si="235"/>
        <v>#VALUE!</v>
      </c>
      <c r="P335" s="28"/>
    </row>
    <row r="336" spans="1:16" x14ac:dyDescent="0.45">
      <c r="A336" s="112">
        <f t="shared" si="225"/>
        <v>0</v>
      </c>
      <c r="B336" s="114" t="str">
        <f>IF(mtx_base_6!B46 = "","",mtx_base_6!B46)</f>
        <v/>
      </c>
      <c r="C336" s="114" t="str">
        <f>IF(mtx_base_6!C46 = "","",mtx_base_6!C46)</f>
        <v/>
      </c>
      <c r="D336" s="45" t="e">
        <f t="shared" si="213"/>
        <v>#DIV/0!</v>
      </c>
      <c r="E336" s="77" t="e">
        <f t="shared" si="214"/>
        <v>#DIV/0!</v>
      </c>
      <c r="F336" s="47" t="e">
        <f t="shared" si="226"/>
        <v>#DIV/0!</v>
      </c>
      <c r="G336" s="48" t="e">
        <f t="shared" si="227"/>
        <v>#VALUE!</v>
      </c>
      <c r="H336" s="48" t="e">
        <f t="shared" si="228"/>
        <v>#VALUE!</v>
      </c>
      <c r="I336" s="47" t="e">
        <f t="shared" si="229"/>
        <v>#VALUE!</v>
      </c>
      <c r="J336" s="47" t="e">
        <f t="shared" si="230"/>
        <v>#VALUE!</v>
      </c>
      <c r="K336" s="47" t="e">
        <f t="shared" si="231"/>
        <v>#VALUE!</v>
      </c>
      <c r="L336" s="49" t="e">
        <f t="shared" si="232"/>
        <v>#VALUE!</v>
      </c>
      <c r="M336" s="50" t="e">
        <f t="shared" si="233"/>
        <v>#VALUE!</v>
      </c>
      <c r="N336" s="51" t="e">
        <f t="shared" si="234"/>
        <v>#VALUE!</v>
      </c>
      <c r="O336" s="52" t="e">
        <f t="shared" si="235"/>
        <v>#VALUE!</v>
      </c>
      <c r="P336" s="28"/>
    </row>
    <row r="337" spans="1:16" x14ac:dyDescent="0.45">
      <c r="A337" s="112">
        <f t="shared" si="225"/>
        <v>0</v>
      </c>
      <c r="B337" s="114" t="str">
        <f>IF(mtx_base_6!B47 = "","",mtx_base_6!B47)</f>
        <v/>
      </c>
      <c r="C337" s="114" t="str">
        <f>IF(mtx_base_6!C47 = "","",mtx_base_6!C47)</f>
        <v/>
      </c>
      <c r="D337" s="45" t="e">
        <f t="shared" si="213"/>
        <v>#DIV/0!</v>
      </c>
      <c r="E337" s="77" t="e">
        <f t="shared" si="214"/>
        <v>#DIV/0!</v>
      </c>
      <c r="F337" s="47" t="e">
        <f t="shared" si="226"/>
        <v>#DIV/0!</v>
      </c>
      <c r="G337" s="48" t="e">
        <f t="shared" si="227"/>
        <v>#VALUE!</v>
      </c>
      <c r="H337" s="48" t="e">
        <f t="shared" si="228"/>
        <v>#VALUE!</v>
      </c>
      <c r="I337" s="47" t="e">
        <f t="shared" si="229"/>
        <v>#VALUE!</v>
      </c>
      <c r="J337" s="47" t="e">
        <f t="shared" si="230"/>
        <v>#VALUE!</v>
      </c>
      <c r="K337" s="47" t="e">
        <f t="shared" si="231"/>
        <v>#VALUE!</v>
      </c>
      <c r="L337" s="49" t="e">
        <f t="shared" si="232"/>
        <v>#VALUE!</v>
      </c>
      <c r="M337" s="50" t="e">
        <f t="shared" si="233"/>
        <v>#VALUE!</v>
      </c>
      <c r="N337" s="51" t="e">
        <f t="shared" si="234"/>
        <v>#VALUE!</v>
      </c>
      <c r="O337" s="52" t="e">
        <f t="shared" si="235"/>
        <v>#VALUE!</v>
      </c>
      <c r="P337" s="28"/>
    </row>
    <row r="338" spans="1:16" x14ac:dyDescent="0.45">
      <c r="A338" s="112">
        <f t="shared" si="225"/>
        <v>0</v>
      </c>
      <c r="B338" s="114" t="str">
        <f>IF(mtx_base_6!B48 = "","",mtx_base_6!B48)</f>
        <v/>
      </c>
      <c r="C338" s="114" t="str">
        <f>IF(mtx_base_6!C48 = "","",mtx_base_6!C48)</f>
        <v/>
      </c>
      <c r="D338" s="45" t="e">
        <f t="shared" si="213"/>
        <v>#DIV/0!</v>
      </c>
      <c r="E338" s="77" t="e">
        <f t="shared" si="214"/>
        <v>#DIV/0!</v>
      </c>
      <c r="F338" s="47" t="e">
        <f t="shared" si="226"/>
        <v>#DIV/0!</v>
      </c>
      <c r="G338" s="48" t="e">
        <f t="shared" si="227"/>
        <v>#VALUE!</v>
      </c>
      <c r="H338" s="48" t="e">
        <f t="shared" si="228"/>
        <v>#VALUE!</v>
      </c>
      <c r="I338" s="47" t="e">
        <f t="shared" si="229"/>
        <v>#VALUE!</v>
      </c>
      <c r="J338" s="47" t="e">
        <f t="shared" si="230"/>
        <v>#VALUE!</v>
      </c>
      <c r="K338" s="47" t="e">
        <f t="shared" si="231"/>
        <v>#VALUE!</v>
      </c>
      <c r="L338" s="49" t="e">
        <f t="shared" si="232"/>
        <v>#VALUE!</v>
      </c>
      <c r="M338" s="50" t="e">
        <f t="shared" si="233"/>
        <v>#VALUE!</v>
      </c>
      <c r="N338" s="51" t="e">
        <f t="shared" si="234"/>
        <v>#VALUE!</v>
      </c>
      <c r="O338" s="52" t="e">
        <f t="shared" si="235"/>
        <v>#VALUE!</v>
      </c>
      <c r="P338" s="28"/>
    </row>
    <row r="339" spans="1:16" x14ac:dyDescent="0.45">
      <c r="A339" s="112">
        <f t="shared" si="225"/>
        <v>0</v>
      </c>
      <c r="B339" s="114" t="str">
        <f>IF(mtx_base_6!B49 = "","",mtx_base_6!B49)</f>
        <v/>
      </c>
      <c r="C339" s="114" t="str">
        <f>IF(mtx_base_6!C49 = "","",mtx_base_6!C49)</f>
        <v/>
      </c>
      <c r="D339" s="45" t="e">
        <f t="shared" si="213"/>
        <v>#DIV/0!</v>
      </c>
      <c r="E339" s="77" t="e">
        <f t="shared" si="214"/>
        <v>#DIV/0!</v>
      </c>
      <c r="F339" s="47" t="e">
        <f t="shared" si="226"/>
        <v>#DIV/0!</v>
      </c>
      <c r="G339" s="48" t="e">
        <f t="shared" si="227"/>
        <v>#VALUE!</v>
      </c>
      <c r="H339" s="48" t="e">
        <f t="shared" si="228"/>
        <v>#VALUE!</v>
      </c>
      <c r="I339" s="47" t="e">
        <f t="shared" si="229"/>
        <v>#VALUE!</v>
      </c>
      <c r="J339" s="47" t="e">
        <f t="shared" si="230"/>
        <v>#VALUE!</v>
      </c>
      <c r="K339" s="47" t="e">
        <f t="shared" si="231"/>
        <v>#VALUE!</v>
      </c>
      <c r="L339" s="49" t="e">
        <f t="shared" si="232"/>
        <v>#VALUE!</v>
      </c>
      <c r="M339" s="50" t="e">
        <f t="shared" si="233"/>
        <v>#VALUE!</v>
      </c>
      <c r="N339" s="51" t="e">
        <f t="shared" si="234"/>
        <v>#VALUE!</v>
      </c>
      <c r="O339" s="52" t="e">
        <f t="shared" si="235"/>
        <v>#VALUE!</v>
      </c>
      <c r="P339" s="28"/>
    </row>
    <row r="340" spans="1:16" x14ac:dyDescent="0.45">
      <c r="A340" s="112">
        <f t="shared" si="225"/>
        <v>0</v>
      </c>
      <c r="B340" s="114" t="str">
        <f>IF(mtx_base_6!B50 = "","",mtx_base_6!B50)</f>
        <v/>
      </c>
      <c r="C340" s="114" t="str">
        <f>IF(mtx_base_6!C50 = "","",mtx_base_6!C50)</f>
        <v/>
      </c>
      <c r="D340" s="45" t="e">
        <f t="shared" si="213"/>
        <v>#DIV/0!</v>
      </c>
      <c r="E340" s="77" t="e">
        <f t="shared" si="214"/>
        <v>#DIV/0!</v>
      </c>
      <c r="F340" s="47" t="e">
        <f t="shared" si="226"/>
        <v>#DIV/0!</v>
      </c>
      <c r="G340" s="48" t="e">
        <f t="shared" si="227"/>
        <v>#VALUE!</v>
      </c>
      <c r="H340" s="48" t="e">
        <f t="shared" si="228"/>
        <v>#VALUE!</v>
      </c>
      <c r="I340" s="47" t="e">
        <f t="shared" si="229"/>
        <v>#VALUE!</v>
      </c>
      <c r="J340" s="47" t="e">
        <f t="shared" si="230"/>
        <v>#VALUE!</v>
      </c>
      <c r="K340" s="47" t="e">
        <f t="shared" si="231"/>
        <v>#VALUE!</v>
      </c>
      <c r="L340" s="49" t="e">
        <f t="shared" si="232"/>
        <v>#VALUE!</v>
      </c>
      <c r="M340" s="50" t="e">
        <f t="shared" si="233"/>
        <v>#VALUE!</v>
      </c>
      <c r="N340" s="51" t="e">
        <f t="shared" si="234"/>
        <v>#VALUE!</v>
      </c>
      <c r="O340" s="52" t="e">
        <f t="shared" si="235"/>
        <v>#VALUE!</v>
      </c>
      <c r="P340" s="28"/>
    </row>
    <row r="341" spans="1:16" x14ac:dyDescent="0.45">
      <c r="A341" s="112">
        <f t="shared" si="225"/>
        <v>0</v>
      </c>
      <c r="B341" s="114" t="str">
        <f>IF(mtx_base_6!B51 = "","",mtx_base_6!B51)</f>
        <v/>
      </c>
      <c r="C341" s="114" t="str">
        <f>IF(mtx_base_6!C51 = "","",mtx_base_6!C51)</f>
        <v/>
      </c>
      <c r="D341" s="45" t="e">
        <f t="shared" si="213"/>
        <v>#DIV/0!</v>
      </c>
      <c r="E341" s="77" t="e">
        <f t="shared" si="214"/>
        <v>#DIV/0!</v>
      </c>
      <c r="F341" s="47" t="e">
        <f t="shared" si="226"/>
        <v>#DIV/0!</v>
      </c>
      <c r="G341" s="48" t="e">
        <f t="shared" si="227"/>
        <v>#VALUE!</v>
      </c>
      <c r="H341" s="48" t="e">
        <f t="shared" si="228"/>
        <v>#VALUE!</v>
      </c>
      <c r="I341" s="47" t="e">
        <f t="shared" si="229"/>
        <v>#VALUE!</v>
      </c>
      <c r="J341" s="47" t="e">
        <f t="shared" si="230"/>
        <v>#VALUE!</v>
      </c>
      <c r="K341" s="47" t="e">
        <f t="shared" si="231"/>
        <v>#VALUE!</v>
      </c>
      <c r="L341" s="49" t="e">
        <f t="shared" si="232"/>
        <v>#VALUE!</v>
      </c>
      <c r="M341" s="50" t="e">
        <f t="shared" si="233"/>
        <v>#VALUE!</v>
      </c>
      <c r="N341" s="51" t="e">
        <f t="shared" si="234"/>
        <v>#VALUE!</v>
      </c>
      <c r="O341" s="52" t="e">
        <f t="shared" si="235"/>
        <v>#VALUE!</v>
      </c>
      <c r="P341" s="28"/>
    </row>
    <row r="342" spans="1:16" x14ac:dyDescent="0.45">
      <c r="A342" s="112">
        <f t="shared" si="225"/>
        <v>0</v>
      </c>
      <c r="B342" s="114" t="str">
        <f>IF(mtx_base_6!B52 = "","",mtx_base_6!B52)</f>
        <v/>
      </c>
      <c r="C342" s="114" t="str">
        <f>IF(mtx_base_6!C52 = "","",mtx_base_6!C52)</f>
        <v/>
      </c>
      <c r="D342" s="45" t="e">
        <f t="shared" si="213"/>
        <v>#DIV/0!</v>
      </c>
      <c r="E342" s="77" t="e">
        <f t="shared" si="214"/>
        <v>#DIV/0!</v>
      </c>
      <c r="F342" s="47" t="e">
        <f t="shared" si="226"/>
        <v>#DIV/0!</v>
      </c>
      <c r="G342" s="48" t="e">
        <f t="shared" si="227"/>
        <v>#VALUE!</v>
      </c>
      <c r="H342" s="48" t="e">
        <f t="shared" si="228"/>
        <v>#VALUE!</v>
      </c>
      <c r="I342" s="47" t="e">
        <f t="shared" si="229"/>
        <v>#VALUE!</v>
      </c>
      <c r="J342" s="47" t="e">
        <f t="shared" si="230"/>
        <v>#VALUE!</v>
      </c>
      <c r="K342" s="47" t="e">
        <f t="shared" si="231"/>
        <v>#VALUE!</v>
      </c>
      <c r="L342" s="49" t="e">
        <f t="shared" si="232"/>
        <v>#VALUE!</v>
      </c>
      <c r="M342" s="50" t="e">
        <f t="shared" si="233"/>
        <v>#VALUE!</v>
      </c>
      <c r="N342" s="51" t="e">
        <f t="shared" si="234"/>
        <v>#VALUE!</v>
      </c>
      <c r="O342" s="52" t="e">
        <f t="shared" si="235"/>
        <v>#VALUE!</v>
      </c>
      <c r="P342" s="28"/>
    </row>
    <row r="343" spans="1:16" x14ac:dyDescent="0.45">
      <c r="A343" s="112">
        <f t="shared" si="225"/>
        <v>0</v>
      </c>
      <c r="B343" s="114" t="str">
        <f>IF(mtx_base_6!B53 = "","",mtx_base_6!B53)</f>
        <v/>
      </c>
      <c r="C343" s="114" t="str">
        <f>IF(mtx_base_6!C53 = "","",mtx_base_6!C53)</f>
        <v/>
      </c>
      <c r="D343" s="45" t="e">
        <f t="shared" si="213"/>
        <v>#DIV/0!</v>
      </c>
      <c r="E343" s="77" t="e">
        <f t="shared" si="214"/>
        <v>#DIV/0!</v>
      </c>
      <c r="F343" s="47" t="e">
        <f t="shared" si="226"/>
        <v>#DIV/0!</v>
      </c>
      <c r="G343" s="48" t="e">
        <f t="shared" si="227"/>
        <v>#VALUE!</v>
      </c>
      <c r="H343" s="48" t="e">
        <f t="shared" si="228"/>
        <v>#VALUE!</v>
      </c>
      <c r="I343" s="47" t="e">
        <f t="shared" si="229"/>
        <v>#VALUE!</v>
      </c>
      <c r="J343" s="47" t="e">
        <f t="shared" si="230"/>
        <v>#VALUE!</v>
      </c>
      <c r="K343" s="47" t="e">
        <f t="shared" si="231"/>
        <v>#VALUE!</v>
      </c>
      <c r="L343" s="49" t="e">
        <f t="shared" si="232"/>
        <v>#VALUE!</v>
      </c>
      <c r="M343" s="50" t="e">
        <f t="shared" si="233"/>
        <v>#VALUE!</v>
      </c>
      <c r="N343" s="51" t="e">
        <f t="shared" si="234"/>
        <v>#VALUE!</v>
      </c>
      <c r="O343" s="52" t="e">
        <f t="shared" si="235"/>
        <v>#VALUE!</v>
      </c>
      <c r="P343" s="28"/>
    </row>
    <row r="344" spans="1:16" x14ac:dyDescent="0.45">
      <c r="A344" s="112">
        <f t="shared" si="225"/>
        <v>0</v>
      </c>
      <c r="B344" s="114" t="str">
        <f>IF(mtx_base_6!B54 = "","",mtx_base_6!B54)</f>
        <v/>
      </c>
      <c r="C344" s="114" t="str">
        <f>IF(mtx_base_6!C54 = "","",mtx_base_6!C54)</f>
        <v/>
      </c>
      <c r="D344" s="45" t="e">
        <f t="shared" si="213"/>
        <v>#DIV/0!</v>
      </c>
      <c r="E344" s="77" t="e">
        <f t="shared" si="214"/>
        <v>#DIV/0!</v>
      </c>
      <c r="F344" s="47" t="e">
        <f t="shared" si="226"/>
        <v>#DIV/0!</v>
      </c>
      <c r="G344" s="48" t="e">
        <f t="shared" si="227"/>
        <v>#VALUE!</v>
      </c>
      <c r="H344" s="48" t="e">
        <f t="shared" si="228"/>
        <v>#VALUE!</v>
      </c>
      <c r="I344" s="47" t="e">
        <f t="shared" si="229"/>
        <v>#VALUE!</v>
      </c>
      <c r="J344" s="47" t="e">
        <f t="shared" si="230"/>
        <v>#VALUE!</v>
      </c>
      <c r="K344" s="47" t="e">
        <f t="shared" si="231"/>
        <v>#VALUE!</v>
      </c>
      <c r="L344" s="49" t="e">
        <f t="shared" si="232"/>
        <v>#VALUE!</v>
      </c>
      <c r="M344" s="50" t="e">
        <f t="shared" si="233"/>
        <v>#VALUE!</v>
      </c>
      <c r="N344" s="51" t="e">
        <f t="shared" si="234"/>
        <v>#VALUE!</v>
      </c>
      <c r="O344" s="52" t="e">
        <f t="shared" si="235"/>
        <v>#VALUE!</v>
      </c>
      <c r="P344" s="28"/>
    </row>
    <row r="345" spans="1:16" x14ac:dyDescent="0.45">
      <c r="A345" s="112">
        <f t="shared" si="225"/>
        <v>0</v>
      </c>
      <c r="B345" s="114" t="str">
        <f>IF(mtx_base_6!B55 = "","",mtx_base_6!B55)</f>
        <v/>
      </c>
      <c r="C345" s="114" t="str">
        <f>IF(mtx_base_6!C55 = "","",mtx_base_6!C55)</f>
        <v/>
      </c>
      <c r="D345" s="45" t="e">
        <f t="shared" si="213"/>
        <v>#DIV/0!</v>
      </c>
      <c r="E345" s="77" t="e">
        <f t="shared" si="214"/>
        <v>#DIV/0!</v>
      </c>
      <c r="F345" s="47" t="e">
        <f t="shared" si="226"/>
        <v>#DIV/0!</v>
      </c>
      <c r="G345" s="48" t="e">
        <f t="shared" si="227"/>
        <v>#VALUE!</v>
      </c>
      <c r="H345" s="48" t="e">
        <f t="shared" si="228"/>
        <v>#VALUE!</v>
      </c>
      <c r="I345" s="47" t="e">
        <f t="shared" si="229"/>
        <v>#VALUE!</v>
      </c>
      <c r="J345" s="47" t="e">
        <f t="shared" si="230"/>
        <v>#VALUE!</v>
      </c>
      <c r="K345" s="47" t="e">
        <f t="shared" si="231"/>
        <v>#VALUE!</v>
      </c>
      <c r="L345" s="49" t="e">
        <f t="shared" si="232"/>
        <v>#VALUE!</v>
      </c>
      <c r="M345" s="50" t="e">
        <f t="shared" si="233"/>
        <v>#VALUE!</v>
      </c>
      <c r="N345" s="51" t="e">
        <f t="shared" si="234"/>
        <v>#VALUE!</v>
      </c>
      <c r="O345" s="52" t="e">
        <f t="shared" si="235"/>
        <v>#VALUE!</v>
      </c>
      <c r="P345" s="28"/>
    </row>
    <row r="346" spans="1:16" x14ac:dyDescent="0.45">
      <c r="A346" s="112">
        <f t="shared" si="225"/>
        <v>0</v>
      </c>
      <c r="B346" s="114" t="str">
        <f>IF(mtx_base_6!B56 = "","",mtx_base_6!B56)</f>
        <v/>
      </c>
      <c r="C346" s="114" t="str">
        <f>IF(mtx_base_6!C56 = "","",mtx_base_6!C56)</f>
        <v/>
      </c>
      <c r="D346" s="45" t="e">
        <f t="shared" si="213"/>
        <v>#DIV/0!</v>
      </c>
      <c r="E346" s="77" t="e">
        <f t="shared" si="214"/>
        <v>#DIV/0!</v>
      </c>
      <c r="F346" s="47" t="e">
        <f t="shared" si="226"/>
        <v>#DIV/0!</v>
      </c>
      <c r="G346" s="48" t="e">
        <f t="shared" si="227"/>
        <v>#VALUE!</v>
      </c>
      <c r="H346" s="48" t="e">
        <f t="shared" si="228"/>
        <v>#VALUE!</v>
      </c>
      <c r="I346" s="47" t="e">
        <f t="shared" si="229"/>
        <v>#VALUE!</v>
      </c>
      <c r="J346" s="47" t="e">
        <f t="shared" si="230"/>
        <v>#VALUE!</v>
      </c>
      <c r="K346" s="47" t="e">
        <f t="shared" si="231"/>
        <v>#VALUE!</v>
      </c>
      <c r="L346" s="49" t="e">
        <f t="shared" si="232"/>
        <v>#VALUE!</v>
      </c>
      <c r="M346" s="50" t="e">
        <f t="shared" si="233"/>
        <v>#VALUE!</v>
      </c>
      <c r="N346" s="51" t="e">
        <f t="shared" si="234"/>
        <v>#VALUE!</v>
      </c>
      <c r="O346" s="52" t="e">
        <f t="shared" si="235"/>
        <v>#VALUE!</v>
      </c>
      <c r="P346" s="28"/>
    </row>
    <row r="347" spans="1:16" x14ac:dyDescent="0.45">
      <c r="A347" s="112">
        <f t="shared" si="225"/>
        <v>0</v>
      </c>
      <c r="B347" s="114" t="str">
        <f>IF(mtx_base_6!B57 = "","",mtx_base_6!B57)</f>
        <v/>
      </c>
      <c r="C347" s="114" t="str">
        <f>IF(mtx_base_6!C57 = "","",mtx_base_6!C57)</f>
        <v/>
      </c>
      <c r="D347" s="45" t="e">
        <f t="shared" si="213"/>
        <v>#DIV/0!</v>
      </c>
      <c r="E347" s="77" t="e">
        <f t="shared" si="214"/>
        <v>#DIV/0!</v>
      </c>
      <c r="F347" s="47" t="e">
        <f t="shared" si="226"/>
        <v>#DIV/0!</v>
      </c>
      <c r="G347" s="48" t="e">
        <f t="shared" si="227"/>
        <v>#VALUE!</v>
      </c>
      <c r="H347" s="48" t="e">
        <f t="shared" si="228"/>
        <v>#VALUE!</v>
      </c>
      <c r="I347" s="47" t="e">
        <f t="shared" si="229"/>
        <v>#VALUE!</v>
      </c>
      <c r="J347" s="47" t="e">
        <f t="shared" si="230"/>
        <v>#VALUE!</v>
      </c>
      <c r="K347" s="47" t="e">
        <f t="shared" si="231"/>
        <v>#VALUE!</v>
      </c>
      <c r="L347" s="49" t="e">
        <f t="shared" si="232"/>
        <v>#VALUE!</v>
      </c>
      <c r="M347" s="50" t="e">
        <f t="shared" si="233"/>
        <v>#VALUE!</v>
      </c>
      <c r="N347" s="51" t="e">
        <f t="shared" si="234"/>
        <v>#VALUE!</v>
      </c>
      <c r="O347" s="52" t="e">
        <f t="shared" si="235"/>
        <v>#VALUE!</v>
      </c>
      <c r="P347" s="28"/>
    </row>
    <row r="348" spans="1:16" x14ac:dyDescent="0.45">
      <c r="A348" s="112">
        <f t="shared" si="225"/>
        <v>0</v>
      </c>
      <c r="B348" s="114" t="str">
        <f>IF(mtx_base_6!B58 = "","",mtx_base_6!B58)</f>
        <v/>
      </c>
      <c r="C348" s="114" t="str">
        <f>IF(mtx_base_6!C58 = "","",mtx_base_6!C58)</f>
        <v/>
      </c>
      <c r="D348" s="45" t="e">
        <f t="shared" si="213"/>
        <v>#DIV/0!</v>
      </c>
      <c r="E348" s="77" t="e">
        <f t="shared" si="214"/>
        <v>#DIV/0!</v>
      </c>
      <c r="F348" s="47" t="e">
        <f t="shared" si="226"/>
        <v>#DIV/0!</v>
      </c>
      <c r="G348" s="48" t="e">
        <f t="shared" si="227"/>
        <v>#VALUE!</v>
      </c>
      <c r="H348" s="48" t="e">
        <f t="shared" si="228"/>
        <v>#VALUE!</v>
      </c>
      <c r="I348" s="47" t="e">
        <f t="shared" si="229"/>
        <v>#VALUE!</v>
      </c>
      <c r="J348" s="47" t="e">
        <f t="shared" si="230"/>
        <v>#VALUE!</v>
      </c>
      <c r="K348" s="47" t="e">
        <f t="shared" si="231"/>
        <v>#VALUE!</v>
      </c>
      <c r="L348" s="49" t="e">
        <f t="shared" si="232"/>
        <v>#VALUE!</v>
      </c>
      <c r="M348" s="50" t="e">
        <f t="shared" si="233"/>
        <v>#VALUE!</v>
      </c>
      <c r="N348" s="51" t="e">
        <f t="shared" si="234"/>
        <v>#VALUE!</v>
      </c>
      <c r="O348" s="52" t="e">
        <f t="shared" si="235"/>
        <v>#VALUE!</v>
      </c>
      <c r="P348" s="28"/>
    </row>
    <row r="349" spans="1:16" x14ac:dyDescent="0.45">
      <c r="A349" s="112">
        <f t="shared" si="225"/>
        <v>0</v>
      </c>
      <c r="B349" s="114" t="str">
        <f>IF(mtx_base_6!B59 = "","",mtx_base_6!B59)</f>
        <v/>
      </c>
      <c r="C349" s="114" t="str">
        <f>IF(mtx_base_6!C59 = "","",mtx_base_6!C59)</f>
        <v/>
      </c>
      <c r="D349" s="45" t="e">
        <f t="shared" si="213"/>
        <v>#DIV/0!</v>
      </c>
      <c r="E349" s="77" t="e">
        <f t="shared" si="214"/>
        <v>#DIV/0!</v>
      </c>
      <c r="F349" s="47" t="e">
        <f t="shared" si="226"/>
        <v>#DIV/0!</v>
      </c>
      <c r="G349" s="48" t="e">
        <f t="shared" si="227"/>
        <v>#VALUE!</v>
      </c>
      <c r="H349" s="48" t="e">
        <f t="shared" si="228"/>
        <v>#VALUE!</v>
      </c>
      <c r="I349" s="47" t="e">
        <f t="shared" si="229"/>
        <v>#VALUE!</v>
      </c>
      <c r="J349" s="47" t="e">
        <f t="shared" si="230"/>
        <v>#VALUE!</v>
      </c>
      <c r="K349" s="47" t="e">
        <f t="shared" si="231"/>
        <v>#VALUE!</v>
      </c>
      <c r="L349" s="49" t="e">
        <f t="shared" si="232"/>
        <v>#VALUE!</v>
      </c>
      <c r="M349" s="50" t="e">
        <f t="shared" si="233"/>
        <v>#VALUE!</v>
      </c>
      <c r="N349" s="51" t="e">
        <f t="shared" si="234"/>
        <v>#VALUE!</v>
      </c>
      <c r="O349" s="52" t="e">
        <f t="shared" si="235"/>
        <v>#VALUE!</v>
      </c>
      <c r="P349" s="28"/>
    </row>
    <row r="350" spans="1:16" x14ac:dyDescent="0.45">
      <c r="A350" s="112">
        <f t="shared" si="225"/>
        <v>0</v>
      </c>
      <c r="B350" s="114" t="str">
        <f>IF(mtx_base_6!B60 = "","",mtx_base_6!B60)</f>
        <v/>
      </c>
      <c r="C350" s="114" t="str">
        <f>IF(mtx_base_6!C60 = "","",mtx_base_6!C60)</f>
        <v/>
      </c>
      <c r="D350" s="45" t="e">
        <f t="shared" si="213"/>
        <v>#DIV/0!</v>
      </c>
      <c r="E350" s="77" t="e">
        <f t="shared" si="214"/>
        <v>#DIV/0!</v>
      </c>
      <c r="F350" s="47" t="e">
        <f t="shared" si="226"/>
        <v>#DIV/0!</v>
      </c>
      <c r="G350" s="48" t="e">
        <f t="shared" si="227"/>
        <v>#VALUE!</v>
      </c>
      <c r="H350" s="48" t="e">
        <f t="shared" si="228"/>
        <v>#VALUE!</v>
      </c>
      <c r="I350" s="47" t="e">
        <f t="shared" si="229"/>
        <v>#VALUE!</v>
      </c>
      <c r="J350" s="47" t="e">
        <f t="shared" si="230"/>
        <v>#VALUE!</v>
      </c>
      <c r="K350" s="47" t="e">
        <f t="shared" si="231"/>
        <v>#VALUE!</v>
      </c>
      <c r="L350" s="49" t="e">
        <f t="shared" si="232"/>
        <v>#VALUE!</v>
      </c>
      <c r="M350" s="50" t="e">
        <f t="shared" si="233"/>
        <v>#VALUE!</v>
      </c>
      <c r="N350" s="51" t="e">
        <f t="shared" si="234"/>
        <v>#VALUE!</v>
      </c>
      <c r="O350" s="52" t="e">
        <f t="shared" si="235"/>
        <v>#VALUE!</v>
      </c>
      <c r="P350" s="28"/>
    </row>
    <row r="351" spans="1:16" x14ac:dyDescent="0.45">
      <c r="A351" s="112">
        <f t="shared" si="225"/>
        <v>0</v>
      </c>
      <c r="B351" s="114" t="str">
        <f>IF(mtx_base_6!B61 = "","",mtx_base_6!B61)</f>
        <v/>
      </c>
      <c r="C351" s="114" t="str">
        <f>IF(mtx_base_6!C61 = "","",mtx_base_6!C61)</f>
        <v/>
      </c>
      <c r="D351" s="45" t="e">
        <f t="shared" si="213"/>
        <v>#DIV/0!</v>
      </c>
      <c r="E351" s="77" t="e">
        <f t="shared" si="214"/>
        <v>#DIV/0!</v>
      </c>
      <c r="F351" s="47" t="e">
        <f t="shared" si="226"/>
        <v>#DIV/0!</v>
      </c>
      <c r="G351" s="48" t="e">
        <f t="shared" si="227"/>
        <v>#VALUE!</v>
      </c>
      <c r="H351" s="48" t="e">
        <f t="shared" si="228"/>
        <v>#VALUE!</v>
      </c>
      <c r="I351" s="47" t="e">
        <f t="shared" si="229"/>
        <v>#VALUE!</v>
      </c>
      <c r="J351" s="47" t="e">
        <f t="shared" si="230"/>
        <v>#VALUE!</v>
      </c>
      <c r="K351" s="47" t="e">
        <f t="shared" si="231"/>
        <v>#VALUE!</v>
      </c>
      <c r="L351" s="49" t="e">
        <f t="shared" si="232"/>
        <v>#VALUE!</v>
      </c>
      <c r="M351" s="50" t="e">
        <f t="shared" si="233"/>
        <v>#VALUE!</v>
      </c>
      <c r="N351" s="51" t="e">
        <f t="shared" si="234"/>
        <v>#VALUE!</v>
      </c>
      <c r="O351" s="52" t="e">
        <f t="shared" si="235"/>
        <v>#VALUE!</v>
      </c>
      <c r="P351" s="28"/>
    </row>
    <row r="352" spans="1:16" x14ac:dyDescent="0.45">
      <c r="A352" s="112">
        <f t="shared" si="225"/>
        <v>0</v>
      </c>
      <c r="B352" s="114" t="str">
        <f>IF(mtx_base_6!B62 = "","",mtx_base_6!B62)</f>
        <v/>
      </c>
      <c r="C352" s="114" t="str">
        <f>IF(mtx_base_6!C62 = "","",mtx_base_6!C62)</f>
        <v/>
      </c>
      <c r="D352" s="45" t="e">
        <f t="shared" si="213"/>
        <v>#DIV/0!</v>
      </c>
      <c r="E352" s="77" t="e">
        <f t="shared" si="214"/>
        <v>#DIV/0!</v>
      </c>
      <c r="F352" s="47" t="e">
        <f t="shared" si="226"/>
        <v>#DIV/0!</v>
      </c>
      <c r="G352" s="48" t="e">
        <f t="shared" si="227"/>
        <v>#VALUE!</v>
      </c>
      <c r="H352" s="48" t="e">
        <f t="shared" si="228"/>
        <v>#VALUE!</v>
      </c>
      <c r="I352" s="47" t="e">
        <f t="shared" si="229"/>
        <v>#VALUE!</v>
      </c>
      <c r="J352" s="47" t="e">
        <f t="shared" si="230"/>
        <v>#VALUE!</v>
      </c>
      <c r="K352" s="47" t="e">
        <f t="shared" si="231"/>
        <v>#VALUE!</v>
      </c>
      <c r="L352" s="49" t="e">
        <f t="shared" si="232"/>
        <v>#VALUE!</v>
      </c>
      <c r="M352" s="50" t="e">
        <f t="shared" si="233"/>
        <v>#VALUE!</v>
      </c>
      <c r="N352" s="51" t="e">
        <f t="shared" si="234"/>
        <v>#VALUE!</v>
      </c>
      <c r="O352" s="52" t="e">
        <f t="shared" si="235"/>
        <v>#VALUE!</v>
      </c>
      <c r="P352" s="28"/>
    </row>
    <row r="353" spans="1:16" x14ac:dyDescent="0.45">
      <c r="A353" s="112">
        <f t="shared" si="225"/>
        <v>0</v>
      </c>
      <c r="B353" s="114" t="str">
        <f>IF(mtx_base_6!B63 = "","",mtx_base_6!B63)</f>
        <v/>
      </c>
      <c r="C353" s="114" t="str">
        <f>IF(mtx_base_6!C63 = "","",mtx_base_6!C63)</f>
        <v/>
      </c>
      <c r="D353" s="45" t="e">
        <f t="shared" si="213"/>
        <v>#DIV/0!</v>
      </c>
      <c r="E353" s="77" t="e">
        <f t="shared" si="214"/>
        <v>#DIV/0!</v>
      </c>
      <c r="F353" s="47" t="e">
        <f t="shared" si="226"/>
        <v>#DIV/0!</v>
      </c>
      <c r="G353" s="48" t="e">
        <f t="shared" si="227"/>
        <v>#VALUE!</v>
      </c>
      <c r="H353" s="48" t="e">
        <f t="shared" si="228"/>
        <v>#VALUE!</v>
      </c>
      <c r="I353" s="47" t="e">
        <f t="shared" si="229"/>
        <v>#VALUE!</v>
      </c>
      <c r="J353" s="47" t="e">
        <f t="shared" si="230"/>
        <v>#VALUE!</v>
      </c>
      <c r="K353" s="47" t="e">
        <f t="shared" si="231"/>
        <v>#VALUE!</v>
      </c>
      <c r="L353" s="49" t="e">
        <f t="shared" si="232"/>
        <v>#VALUE!</v>
      </c>
      <c r="M353" s="50" t="e">
        <f t="shared" si="233"/>
        <v>#VALUE!</v>
      </c>
      <c r="N353" s="51" t="e">
        <f t="shared" si="234"/>
        <v>#VALUE!</v>
      </c>
      <c r="O353" s="52" t="e">
        <f t="shared" si="235"/>
        <v>#VALUE!</v>
      </c>
      <c r="P353" s="28"/>
    </row>
    <row r="354" spans="1:16" x14ac:dyDescent="0.45">
      <c r="A354" s="112">
        <f t="shared" si="225"/>
        <v>0</v>
      </c>
      <c r="B354" s="114" t="str">
        <f>IF(mtx_base_6!B64 = "","",mtx_base_6!B64)</f>
        <v/>
      </c>
      <c r="C354" s="114" t="str">
        <f>IF(mtx_base_6!C64 = "","",mtx_base_6!C64)</f>
        <v/>
      </c>
      <c r="D354" s="45" t="e">
        <f t="shared" si="213"/>
        <v>#DIV/0!</v>
      </c>
      <c r="E354" s="77" t="e">
        <f t="shared" si="214"/>
        <v>#DIV/0!</v>
      </c>
      <c r="F354" s="47" t="e">
        <f t="shared" si="226"/>
        <v>#DIV/0!</v>
      </c>
      <c r="G354" s="48" t="e">
        <f t="shared" si="227"/>
        <v>#VALUE!</v>
      </c>
      <c r="H354" s="48" t="e">
        <f t="shared" si="228"/>
        <v>#VALUE!</v>
      </c>
      <c r="I354" s="47" t="e">
        <f t="shared" si="229"/>
        <v>#VALUE!</v>
      </c>
      <c r="J354" s="47" t="e">
        <f t="shared" si="230"/>
        <v>#VALUE!</v>
      </c>
      <c r="K354" s="47" t="e">
        <f t="shared" si="231"/>
        <v>#VALUE!</v>
      </c>
      <c r="L354" s="49" t="e">
        <f t="shared" si="232"/>
        <v>#VALUE!</v>
      </c>
      <c r="M354" s="50" t="e">
        <f t="shared" si="233"/>
        <v>#VALUE!</v>
      </c>
      <c r="N354" s="51" t="e">
        <f t="shared" si="234"/>
        <v>#VALUE!</v>
      </c>
      <c r="O354" s="52" t="e">
        <f t="shared" si="235"/>
        <v>#VALUE!</v>
      </c>
      <c r="P354" s="28"/>
    </row>
    <row r="355" spans="1:16" x14ac:dyDescent="0.45">
      <c r="A355" s="112">
        <f t="shared" si="225"/>
        <v>0</v>
      </c>
      <c r="B355" s="114" t="str">
        <f>IF(mtx_base_6!B65 = "","",mtx_base_6!B65)</f>
        <v/>
      </c>
      <c r="C355" s="114" t="str">
        <f>IF(mtx_base_6!C65 = "","",mtx_base_6!C65)</f>
        <v/>
      </c>
      <c r="D355" s="45" t="e">
        <f t="shared" si="213"/>
        <v>#DIV/0!</v>
      </c>
      <c r="E355" s="77" t="e">
        <f t="shared" si="214"/>
        <v>#DIV/0!</v>
      </c>
      <c r="F355" s="47" t="e">
        <f t="shared" si="226"/>
        <v>#DIV/0!</v>
      </c>
      <c r="G355" s="48" t="e">
        <f t="shared" si="227"/>
        <v>#VALUE!</v>
      </c>
      <c r="H355" s="48" t="e">
        <f t="shared" si="228"/>
        <v>#VALUE!</v>
      </c>
      <c r="I355" s="47" t="e">
        <f t="shared" si="229"/>
        <v>#VALUE!</v>
      </c>
      <c r="J355" s="47" t="e">
        <f t="shared" si="230"/>
        <v>#VALUE!</v>
      </c>
      <c r="K355" s="47" t="e">
        <f t="shared" si="231"/>
        <v>#VALUE!</v>
      </c>
      <c r="L355" s="49" t="e">
        <f t="shared" si="232"/>
        <v>#VALUE!</v>
      </c>
      <c r="M355" s="50" t="e">
        <f t="shared" si="233"/>
        <v>#VALUE!</v>
      </c>
      <c r="N355" s="51" t="e">
        <f t="shared" si="234"/>
        <v>#VALUE!</v>
      </c>
      <c r="O355" s="52" t="e">
        <f t="shared" si="235"/>
        <v>#VALUE!</v>
      </c>
      <c r="P355" s="28"/>
    </row>
    <row r="356" spans="1:16" x14ac:dyDescent="0.45">
      <c r="A356" s="112">
        <f t="shared" si="225"/>
        <v>0</v>
      </c>
      <c r="B356" s="114" t="str">
        <f>IF(mtx_base_6!B66 = "","",mtx_base_6!B66)</f>
        <v/>
      </c>
      <c r="C356" s="114" t="str">
        <f>IF(mtx_base_6!C66 = "","",mtx_base_6!C66)</f>
        <v/>
      </c>
      <c r="D356" s="45" t="e">
        <f t="shared" si="213"/>
        <v>#DIV/0!</v>
      </c>
      <c r="E356" s="77" t="e">
        <f t="shared" si="214"/>
        <v>#DIV/0!</v>
      </c>
      <c r="F356" s="47" t="e">
        <f t="shared" si="226"/>
        <v>#DIV/0!</v>
      </c>
      <c r="G356" s="48" t="e">
        <f t="shared" si="227"/>
        <v>#VALUE!</v>
      </c>
      <c r="H356" s="48" t="e">
        <f t="shared" si="228"/>
        <v>#VALUE!</v>
      </c>
      <c r="I356" s="47" t="e">
        <f t="shared" si="229"/>
        <v>#VALUE!</v>
      </c>
      <c r="J356" s="47" t="e">
        <f t="shared" si="230"/>
        <v>#VALUE!</v>
      </c>
      <c r="K356" s="47" t="e">
        <f t="shared" si="231"/>
        <v>#VALUE!</v>
      </c>
      <c r="L356" s="49" t="e">
        <f t="shared" si="232"/>
        <v>#VALUE!</v>
      </c>
      <c r="M356" s="50" t="e">
        <f t="shared" si="233"/>
        <v>#VALUE!</v>
      </c>
      <c r="N356" s="51" t="e">
        <f t="shared" si="234"/>
        <v>#VALUE!</v>
      </c>
      <c r="O356" s="52" t="e">
        <f t="shared" si="235"/>
        <v>#VALUE!</v>
      </c>
      <c r="P356" s="28"/>
    </row>
    <row r="357" spans="1:16" x14ac:dyDescent="0.45">
      <c r="A357" s="112">
        <f t="shared" si="225"/>
        <v>0</v>
      </c>
      <c r="B357" s="114" t="str">
        <f>IF(mtx_base_6!B67 = "","",mtx_base_6!B67)</f>
        <v/>
      </c>
      <c r="C357" s="114" t="str">
        <f>IF(mtx_base_6!C67 = "","",mtx_base_6!C67)</f>
        <v/>
      </c>
      <c r="D357" s="45" t="e">
        <f t="shared" si="213"/>
        <v>#DIV/0!</v>
      </c>
      <c r="E357" s="77" t="e">
        <f t="shared" si="214"/>
        <v>#DIV/0!</v>
      </c>
      <c r="F357" s="47" t="e">
        <f t="shared" si="226"/>
        <v>#DIV/0!</v>
      </c>
      <c r="G357" s="48" t="e">
        <f t="shared" si="227"/>
        <v>#VALUE!</v>
      </c>
      <c r="H357" s="48" t="e">
        <f t="shared" si="228"/>
        <v>#VALUE!</v>
      </c>
      <c r="I357" s="47" t="e">
        <f t="shared" si="229"/>
        <v>#VALUE!</v>
      </c>
      <c r="J357" s="47" t="e">
        <f t="shared" si="230"/>
        <v>#VALUE!</v>
      </c>
      <c r="K357" s="47" t="e">
        <f t="shared" si="231"/>
        <v>#VALUE!</v>
      </c>
      <c r="L357" s="49" t="e">
        <f t="shared" si="232"/>
        <v>#VALUE!</v>
      </c>
      <c r="M357" s="50" t="e">
        <f t="shared" si="233"/>
        <v>#VALUE!</v>
      </c>
      <c r="N357" s="51" t="e">
        <f t="shared" si="234"/>
        <v>#VALUE!</v>
      </c>
      <c r="O357" s="52" t="e">
        <f t="shared" si="235"/>
        <v>#VALUE!</v>
      </c>
      <c r="P357" s="28"/>
    </row>
    <row r="358" spans="1:16" ht="16.5" thickBot="1" x14ac:dyDescent="0.5">
      <c r="A358" s="112">
        <f t="shared" si="225"/>
        <v>0</v>
      </c>
      <c r="B358" s="114" t="str">
        <f>IF(mtx_base_6!B68 = "","",mtx_base_6!B68)</f>
        <v/>
      </c>
      <c r="C358" s="114" t="str">
        <f>IF(mtx_base_6!C68 = "","",mtx_base_6!C68)</f>
        <v/>
      </c>
      <c r="D358" s="45" t="e">
        <f t="shared" si="213"/>
        <v>#DIV/0!</v>
      </c>
      <c r="E358" s="77" t="e">
        <f t="shared" si="214"/>
        <v>#DIV/0!</v>
      </c>
      <c r="F358" s="47" t="e">
        <f t="shared" si="226"/>
        <v>#DIV/0!</v>
      </c>
      <c r="G358" s="48" t="e">
        <f t="shared" si="227"/>
        <v>#VALUE!</v>
      </c>
      <c r="H358" s="48" t="e">
        <f t="shared" si="228"/>
        <v>#VALUE!</v>
      </c>
      <c r="I358" s="47" t="e">
        <f t="shared" si="229"/>
        <v>#VALUE!</v>
      </c>
      <c r="J358" s="47" t="e">
        <f t="shared" si="230"/>
        <v>#VALUE!</v>
      </c>
      <c r="K358" s="47" t="e">
        <f t="shared" si="231"/>
        <v>#VALUE!</v>
      </c>
      <c r="L358" s="49" t="e">
        <f t="shared" si="232"/>
        <v>#VALUE!</v>
      </c>
      <c r="M358" s="50" t="e">
        <f t="shared" si="233"/>
        <v>#VALUE!</v>
      </c>
      <c r="N358" s="51" t="e">
        <f t="shared" si="234"/>
        <v>#VALUE!</v>
      </c>
      <c r="O358" s="52" t="e">
        <f t="shared" si="235"/>
        <v>#VALUE!</v>
      </c>
      <c r="P358" s="28"/>
    </row>
    <row r="359" spans="1:16" ht="16.5" thickBot="1" x14ac:dyDescent="0.5">
      <c r="A359" s="60" t="s">
        <v>46</v>
      </c>
      <c r="B359" s="7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</row>
    <row r="360" spans="1:16" ht="25.5" thickBot="1" x14ac:dyDescent="0.75">
      <c r="A360" s="27" t="s">
        <v>52</v>
      </c>
      <c r="B360" s="137"/>
      <c r="C360" s="137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</row>
    <row r="361" spans="1:16" ht="16.5" thickBot="1" x14ac:dyDescent="0.5">
      <c r="A361" s="30"/>
      <c r="B361" s="137"/>
      <c r="C361" s="137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</row>
    <row r="362" spans="1:16" ht="16.5" thickBot="1" x14ac:dyDescent="0.5">
      <c r="A362" s="31" t="s">
        <v>30</v>
      </c>
      <c r="B362" s="137"/>
      <c r="C362" s="137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</row>
    <row r="363" spans="1:16" x14ac:dyDescent="0.45">
      <c r="A363" s="32" t="s">
        <v>31</v>
      </c>
      <c r="B363" s="33" t="e">
        <f>AVERAGE(B368:B417)</f>
        <v>#DIV/0!</v>
      </c>
      <c r="C363" s="34" t="e">
        <f>AVERAGE(C368:C417)</f>
        <v>#DIV/0!</v>
      </c>
      <c r="D363" s="35" t="s">
        <v>32</v>
      </c>
      <c r="E363" s="61" t="e">
        <f>B365-B364</f>
        <v>#DIV/0!</v>
      </c>
      <c r="F363" s="62" t="e">
        <f>C365-C364</f>
        <v>#DIV/0!</v>
      </c>
      <c r="G363" s="38"/>
      <c r="H363" s="39"/>
      <c r="I363" s="38"/>
      <c r="J363" s="38"/>
      <c r="K363" s="28"/>
      <c r="L363" s="28"/>
      <c r="M363" s="28"/>
      <c r="N363" s="28"/>
      <c r="O363" s="28"/>
      <c r="P363" s="28"/>
    </row>
    <row r="364" spans="1:16" ht="16.5" thickBot="1" x14ac:dyDescent="0.5">
      <c r="A364" s="63" t="s">
        <v>33</v>
      </c>
      <c r="B364" s="64" t="e">
        <f>B363-1.1*(MAX(MAX(B368:B417)-B363,B363-MIN(B368:B417)))</f>
        <v>#DIV/0!</v>
      </c>
      <c r="C364" s="133" t="e">
        <f>C363-1.1*(MAX(MAX(C368:C417)-C363,C363-MIN(C368:C417)))</f>
        <v>#DIV/0!</v>
      </c>
      <c r="D364" s="65" t="s">
        <v>34</v>
      </c>
      <c r="E364" s="66" t="e">
        <f>+E363/75</f>
        <v>#DIV/0!</v>
      </c>
      <c r="F364" s="67" t="e">
        <f>+F363/75</f>
        <v>#DIV/0!</v>
      </c>
      <c r="G364" s="38"/>
      <c r="H364" s="38"/>
      <c r="I364" s="38"/>
      <c r="J364" s="38"/>
      <c r="K364" s="28"/>
      <c r="L364" s="28"/>
      <c r="M364" s="28"/>
      <c r="N364" s="28"/>
      <c r="O364" s="28"/>
      <c r="P364" s="28"/>
    </row>
    <row r="365" spans="1:16" ht="16.5" thickBot="1" x14ac:dyDescent="0.5">
      <c r="A365" s="68" t="s">
        <v>35</v>
      </c>
      <c r="B365" s="69" t="e">
        <f>B363+1.1*(MAX(MAX(B368:B417)-B363,B363-MIN(B368:B417)))</f>
        <v>#DIV/0!</v>
      </c>
      <c r="C365" s="70" t="e">
        <f>C363+1.1*(MAX(MAX(C368:C417)-C363,C363-MIN(C368:C417)))</f>
        <v>#DIV/0!</v>
      </c>
      <c r="D365" s="40"/>
      <c r="E365" s="41"/>
      <c r="F365" s="41"/>
      <c r="G365" s="42"/>
      <c r="H365" s="42"/>
      <c r="I365" s="42"/>
      <c r="J365" s="42"/>
      <c r="K365" s="43"/>
      <c r="L365" s="43"/>
      <c r="M365" s="28"/>
      <c r="N365" s="28"/>
      <c r="O365" s="28"/>
      <c r="P365" s="28"/>
    </row>
    <row r="366" spans="1:16" x14ac:dyDescent="0.45">
      <c r="A366" s="28"/>
      <c r="B366" s="38"/>
      <c r="C366" s="44"/>
      <c r="D366" s="138" t="s">
        <v>36</v>
      </c>
      <c r="E366" s="139"/>
      <c r="F366" s="139"/>
      <c r="G366" s="139"/>
      <c r="H366" s="139"/>
      <c r="I366" s="139"/>
      <c r="J366" s="139"/>
      <c r="K366" s="139"/>
      <c r="L366" s="139"/>
      <c r="M366" s="140" t="s">
        <v>37</v>
      </c>
      <c r="N366" s="140"/>
      <c r="O366" s="144" t="s">
        <v>38</v>
      </c>
      <c r="P366" s="28"/>
    </row>
    <row r="367" spans="1:16" ht="16.5" thickBot="1" x14ac:dyDescent="0.5">
      <c r="A367" s="71" t="s">
        <v>39</v>
      </c>
      <c r="B367" s="72" t="s">
        <v>40</v>
      </c>
      <c r="C367" s="73" t="s">
        <v>41</v>
      </c>
      <c r="D367" s="149" t="s">
        <v>42</v>
      </c>
      <c r="E367" s="150"/>
      <c r="F367" s="74" t="s">
        <v>43</v>
      </c>
      <c r="G367" s="150" t="s">
        <v>44</v>
      </c>
      <c r="H367" s="150"/>
      <c r="I367" s="150"/>
      <c r="J367" s="150"/>
      <c r="K367" s="150" t="s">
        <v>45</v>
      </c>
      <c r="L367" s="150"/>
      <c r="M367" s="152"/>
      <c r="N367" s="152"/>
      <c r="O367" s="148"/>
      <c r="P367" s="28"/>
    </row>
    <row r="368" spans="1:16" x14ac:dyDescent="0.45">
      <c r="A368" s="112">
        <f>A9</f>
        <v>0</v>
      </c>
      <c r="B368" s="114" t="str">
        <f>IF(mtx_base_7!B19 = "","",mtx_base_7!B19)</f>
        <v/>
      </c>
      <c r="C368" s="114" t="str">
        <f>IF(mtx_base_7!C19 = "","",mtx_base_7!C19)</f>
        <v/>
      </c>
      <c r="D368" s="45" t="e">
        <f t="shared" ref="D368:D417" si="236">$B$363</f>
        <v>#DIV/0!</v>
      </c>
      <c r="E368" s="77" t="e">
        <f t="shared" ref="E368:E417" si="237">$C$363</f>
        <v>#DIV/0!</v>
      </c>
      <c r="F368" s="47" t="e">
        <f t="shared" ref="F368" si="238">IF(AND(B368&lt;D368,C368&lt;E368),"Blue",(IF(AND(B368&lt;D368,C368&gt;E368),"Red",(IF(AND(B368&gt;D368,C368&gt;E368),"Green",(IF(AND(B368&gt;D368,C368&lt;E368),"Yellow")))))))</f>
        <v>#DIV/0!</v>
      </c>
      <c r="G368" s="48" t="e">
        <f t="shared" ref="G368" si="239">B368-D368</f>
        <v>#VALUE!</v>
      </c>
      <c r="H368" s="48" t="e">
        <f t="shared" ref="H368" si="240">C368-E368</f>
        <v>#VALUE!</v>
      </c>
      <c r="I368" s="47" t="e">
        <f t="shared" ref="I368" si="241">IF((ABS(G368)&lt;$E$364),"TIE",F368)</f>
        <v>#VALUE!</v>
      </c>
      <c r="J368" s="47" t="e">
        <f t="shared" ref="J368" si="242">IF((ABS(H368)&lt;$F$364),"TIE",F368)</f>
        <v>#VALUE!</v>
      </c>
      <c r="K368" s="47" t="e">
        <f t="shared" ref="K368" si="243">IF(AND(I368&lt;&gt;"TIE",J368&lt;&gt;"TIE"),F368,"TIE")</f>
        <v>#VALUE!</v>
      </c>
      <c r="L368" s="49" t="e">
        <f t="shared" ref="L368" si="244">IF(AND(I368="TIE",C368&gt;E368),"Red/Green",(IF(AND(I368="TIE",C368&lt;E368),"Blue/Yellow",(IF(AND(B368&lt;D368,J368="TIE"),"Red/Blue",(IF(AND(B368&gt;D368,J368="TIE"),"Green/Yellow")))))))</f>
        <v>#VALUE!</v>
      </c>
      <c r="M368" s="50" t="e">
        <f t="shared" ref="M368" si="245">IF(AND(I368="TIE",J368="TIE"),"Four Way Tie",IF(L368=FALSE,K368,L368))</f>
        <v>#VALUE!</v>
      </c>
      <c r="N368" s="51" t="e">
        <f t="shared" ref="N368" si="246">M368</f>
        <v>#VALUE!</v>
      </c>
      <c r="O368" s="52" t="e">
        <f>N368</f>
        <v>#VALUE!</v>
      </c>
      <c r="P368" s="28"/>
    </row>
    <row r="369" spans="1:16" x14ac:dyDescent="0.45">
      <c r="A369" s="112">
        <f t="shared" ref="A369:A417" si="247">A10</f>
        <v>0</v>
      </c>
      <c r="B369" s="114" t="str">
        <f>IF(mtx_base_7!B20 = "","",mtx_base_7!B20)</f>
        <v/>
      </c>
      <c r="C369" s="114" t="str">
        <f>IF(mtx_base_7!C20 = "","",mtx_base_7!C20)</f>
        <v/>
      </c>
      <c r="D369" s="45" t="e">
        <f t="shared" si="236"/>
        <v>#DIV/0!</v>
      </c>
      <c r="E369" s="77" t="e">
        <f t="shared" si="237"/>
        <v>#DIV/0!</v>
      </c>
      <c r="F369" s="47" t="e">
        <f t="shared" ref="F369:F392" si="248">IF(AND(B369&lt;D369,C369&lt;E369),"Blue",(IF(AND(B369&lt;D369,C369&gt;E369),"Red",(IF(AND(B369&gt;D369,C369&gt;E369),"Green",(IF(AND(B369&gt;D369,C369&lt;E369),"Yellow")))))))</f>
        <v>#DIV/0!</v>
      </c>
      <c r="G369" s="48" t="e">
        <f t="shared" ref="G369:G392" si="249">B369-D369</f>
        <v>#VALUE!</v>
      </c>
      <c r="H369" s="48" t="e">
        <f t="shared" ref="H369:H392" si="250">C369-E369</f>
        <v>#VALUE!</v>
      </c>
      <c r="I369" s="47" t="e">
        <f t="shared" ref="I369:I392" si="251">IF((ABS(G369)&lt;$E$364),"TIE",F369)</f>
        <v>#VALUE!</v>
      </c>
      <c r="J369" s="47" t="e">
        <f t="shared" ref="J369:J392" si="252">IF((ABS(H369)&lt;$F$364),"TIE",F369)</f>
        <v>#VALUE!</v>
      </c>
      <c r="K369" s="47" t="e">
        <f t="shared" ref="K369:K392" si="253">IF(AND(I369&lt;&gt;"TIE",J369&lt;&gt;"TIE"),F369,"TIE")</f>
        <v>#VALUE!</v>
      </c>
      <c r="L369" s="49" t="e">
        <f t="shared" ref="L369:L392" si="254">IF(AND(I369="TIE",C369&gt;E369),"Red/Green",(IF(AND(I369="TIE",C369&lt;E369),"Blue/Yellow",(IF(AND(B369&lt;D369,J369="TIE"),"Red/Blue",(IF(AND(B369&gt;D369,J369="TIE"),"Green/Yellow")))))))</f>
        <v>#VALUE!</v>
      </c>
      <c r="M369" s="50" t="e">
        <f t="shared" ref="M369:M392" si="255">IF(AND(I369="TIE",J369="TIE"),"Four Way Tie",IF(L369=FALSE,K369,L369))</f>
        <v>#VALUE!</v>
      </c>
      <c r="N369" s="51" t="e">
        <f t="shared" ref="N369:N392" si="256">M369</f>
        <v>#VALUE!</v>
      </c>
      <c r="O369" s="52" t="e">
        <f t="shared" ref="O369:O392" si="257">N369</f>
        <v>#VALUE!</v>
      </c>
      <c r="P369" s="28"/>
    </row>
    <row r="370" spans="1:16" x14ac:dyDescent="0.45">
      <c r="A370" s="112">
        <f t="shared" si="247"/>
        <v>0</v>
      </c>
      <c r="B370" s="114" t="str">
        <f>IF(mtx_base_7!B21 = "","",mtx_base_7!B21)</f>
        <v/>
      </c>
      <c r="C370" s="114" t="str">
        <f>IF(mtx_base_7!C21 = "","",mtx_base_7!C21)</f>
        <v/>
      </c>
      <c r="D370" s="45" t="e">
        <f t="shared" si="236"/>
        <v>#DIV/0!</v>
      </c>
      <c r="E370" s="77" t="e">
        <f t="shared" si="237"/>
        <v>#DIV/0!</v>
      </c>
      <c r="F370" s="47" t="e">
        <f t="shared" si="248"/>
        <v>#DIV/0!</v>
      </c>
      <c r="G370" s="48" t="e">
        <f t="shared" si="249"/>
        <v>#VALUE!</v>
      </c>
      <c r="H370" s="48" t="e">
        <f t="shared" si="250"/>
        <v>#VALUE!</v>
      </c>
      <c r="I370" s="47" t="e">
        <f t="shared" si="251"/>
        <v>#VALUE!</v>
      </c>
      <c r="J370" s="47" t="e">
        <f t="shared" si="252"/>
        <v>#VALUE!</v>
      </c>
      <c r="K370" s="47" t="e">
        <f t="shared" si="253"/>
        <v>#VALUE!</v>
      </c>
      <c r="L370" s="49" t="e">
        <f t="shared" si="254"/>
        <v>#VALUE!</v>
      </c>
      <c r="M370" s="50" t="e">
        <f t="shared" si="255"/>
        <v>#VALUE!</v>
      </c>
      <c r="N370" s="51" t="e">
        <f t="shared" si="256"/>
        <v>#VALUE!</v>
      </c>
      <c r="O370" s="52" t="e">
        <f t="shared" si="257"/>
        <v>#VALUE!</v>
      </c>
      <c r="P370" s="28"/>
    </row>
    <row r="371" spans="1:16" x14ac:dyDescent="0.45">
      <c r="A371" s="112">
        <f t="shared" si="247"/>
        <v>0</v>
      </c>
      <c r="B371" s="114" t="str">
        <f>IF(mtx_base_7!B22 = "","",mtx_base_7!B22)</f>
        <v/>
      </c>
      <c r="C371" s="114" t="str">
        <f>IF(mtx_base_7!C22 = "","",mtx_base_7!C22)</f>
        <v/>
      </c>
      <c r="D371" s="45" t="e">
        <f t="shared" si="236"/>
        <v>#DIV/0!</v>
      </c>
      <c r="E371" s="77" t="e">
        <f t="shared" si="237"/>
        <v>#DIV/0!</v>
      </c>
      <c r="F371" s="47" t="e">
        <f t="shared" si="248"/>
        <v>#DIV/0!</v>
      </c>
      <c r="G371" s="48" t="e">
        <f t="shared" si="249"/>
        <v>#VALUE!</v>
      </c>
      <c r="H371" s="48" t="e">
        <f t="shared" si="250"/>
        <v>#VALUE!</v>
      </c>
      <c r="I371" s="47" t="e">
        <f t="shared" si="251"/>
        <v>#VALUE!</v>
      </c>
      <c r="J371" s="47" t="e">
        <f t="shared" si="252"/>
        <v>#VALUE!</v>
      </c>
      <c r="K371" s="47" t="e">
        <f t="shared" si="253"/>
        <v>#VALUE!</v>
      </c>
      <c r="L371" s="49" t="e">
        <f t="shared" si="254"/>
        <v>#VALUE!</v>
      </c>
      <c r="M371" s="50" t="e">
        <f t="shared" si="255"/>
        <v>#VALUE!</v>
      </c>
      <c r="N371" s="51" t="e">
        <f t="shared" si="256"/>
        <v>#VALUE!</v>
      </c>
      <c r="O371" s="52" t="e">
        <f t="shared" si="257"/>
        <v>#VALUE!</v>
      </c>
      <c r="P371" s="28"/>
    </row>
    <row r="372" spans="1:16" x14ac:dyDescent="0.45">
      <c r="A372" s="112">
        <f t="shared" si="247"/>
        <v>0</v>
      </c>
      <c r="B372" s="114" t="str">
        <f>IF(mtx_base_7!B23 = "","",mtx_base_7!B23)</f>
        <v/>
      </c>
      <c r="C372" s="114" t="str">
        <f>IF(mtx_base_7!C23 = "","",mtx_base_7!C23)</f>
        <v/>
      </c>
      <c r="D372" s="45" t="e">
        <f t="shared" si="236"/>
        <v>#DIV/0!</v>
      </c>
      <c r="E372" s="77" t="e">
        <f t="shared" si="237"/>
        <v>#DIV/0!</v>
      </c>
      <c r="F372" s="47" t="e">
        <f t="shared" si="248"/>
        <v>#DIV/0!</v>
      </c>
      <c r="G372" s="48" t="e">
        <f t="shared" si="249"/>
        <v>#VALUE!</v>
      </c>
      <c r="H372" s="48" t="e">
        <f t="shared" si="250"/>
        <v>#VALUE!</v>
      </c>
      <c r="I372" s="47" t="e">
        <f t="shared" si="251"/>
        <v>#VALUE!</v>
      </c>
      <c r="J372" s="47" t="e">
        <f t="shared" si="252"/>
        <v>#VALUE!</v>
      </c>
      <c r="K372" s="47" t="e">
        <f t="shared" si="253"/>
        <v>#VALUE!</v>
      </c>
      <c r="L372" s="49" t="e">
        <f t="shared" si="254"/>
        <v>#VALUE!</v>
      </c>
      <c r="M372" s="50" t="e">
        <f t="shared" si="255"/>
        <v>#VALUE!</v>
      </c>
      <c r="N372" s="51" t="e">
        <f t="shared" si="256"/>
        <v>#VALUE!</v>
      </c>
      <c r="O372" s="52" t="e">
        <f t="shared" si="257"/>
        <v>#VALUE!</v>
      </c>
      <c r="P372" s="28"/>
    </row>
    <row r="373" spans="1:16" x14ac:dyDescent="0.45">
      <c r="A373" s="112">
        <f t="shared" si="247"/>
        <v>0</v>
      </c>
      <c r="B373" s="114" t="str">
        <f>IF(mtx_base_7!B24 = "","",mtx_base_7!B24)</f>
        <v/>
      </c>
      <c r="C373" s="114" t="str">
        <f>IF(mtx_base_7!C24 = "","",mtx_base_7!C24)</f>
        <v/>
      </c>
      <c r="D373" s="45" t="e">
        <f t="shared" si="236"/>
        <v>#DIV/0!</v>
      </c>
      <c r="E373" s="77" t="e">
        <f t="shared" si="237"/>
        <v>#DIV/0!</v>
      </c>
      <c r="F373" s="47" t="e">
        <f t="shared" si="248"/>
        <v>#DIV/0!</v>
      </c>
      <c r="G373" s="48" t="e">
        <f t="shared" si="249"/>
        <v>#VALUE!</v>
      </c>
      <c r="H373" s="48" t="e">
        <f t="shared" si="250"/>
        <v>#VALUE!</v>
      </c>
      <c r="I373" s="47" t="e">
        <f t="shared" si="251"/>
        <v>#VALUE!</v>
      </c>
      <c r="J373" s="47" t="e">
        <f t="shared" si="252"/>
        <v>#VALUE!</v>
      </c>
      <c r="K373" s="47" t="e">
        <f t="shared" si="253"/>
        <v>#VALUE!</v>
      </c>
      <c r="L373" s="49" t="e">
        <f t="shared" si="254"/>
        <v>#VALUE!</v>
      </c>
      <c r="M373" s="50" t="e">
        <f t="shared" si="255"/>
        <v>#VALUE!</v>
      </c>
      <c r="N373" s="51" t="e">
        <f t="shared" si="256"/>
        <v>#VALUE!</v>
      </c>
      <c r="O373" s="52" t="e">
        <f t="shared" si="257"/>
        <v>#VALUE!</v>
      </c>
      <c r="P373" s="28"/>
    </row>
    <row r="374" spans="1:16" x14ac:dyDescent="0.45">
      <c r="A374" s="112">
        <f t="shared" si="247"/>
        <v>0</v>
      </c>
      <c r="B374" s="114" t="str">
        <f>IF(mtx_base_7!B25 = "","",mtx_base_7!B25)</f>
        <v/>
      </c>
      <c r="C374" s="114" t="str">
        <f>IF(mtx_base_7!C25 = "","",mtx_base_7!C25)</f>
        <v/>
      </c>
      <c r="D374" s="45" t="e">
        <f t="shared" si="236"/>
        <v>#DIV/0!</v>
      </c>
      <c r="E374" s="77" t="e">
        <f t="shared" si="237"/>
        <v>#DIV/0!</v>
      </c>
      <c r="F374" s="47" t="e">
        <f t="shared" si="248"/>
        <v>#DIV/0!</v>
      </c>
      <c r="G374" s="48" t="e">
        <f t="shared" si="249"/>
        <v>#VALUE!</v>
      </c>
      <c r="H374" s="48" t="e">
        <f t="shared" si="250"/>
        <v>#VALUE!</v>
      </c>
      <c r="I374" s="47" t="e">
        <f t="shared" si="251"/>
        <v>#VALUE!</v>
      </c>
      <c r="J374" s="47" t="e">
        <f t="shared" si="252"/>
        <v>#VALUE!</v>
      </c>
      <c r="K374" s="47" t="e">
        <f t="shared" si="253"/>
        <v>#VALUE!</v>
      </c>
      <c r="L374" s="49" t="e">
        <f t="shared" si="254"/>
        <v>#VALUE!</v>
      </c>
      <c r="M374" s="50" t="e">
        <f t="shared" si="255"/>
        <v>#VALUE!</v>
      </c>
      <c r="N374" s="51" t="e">
        <f t="shared" si="256"/>
        <v>#VALUE!</v>
      </c>
      <c r="O374" s="52" t="e">
        <f t="shared" si="257"/>
        <v>#VALUE!</v>
      </c>
      <c r="P374" s="28"/>
    </row>
    <row r="375" spans="1:16" x14ac:dyDescent="0.45">
      <c r="A375" s="112">
        <f t="shared" si="247"/>
        <v>0</v>
      </c>
      <c r="B375" s="114" t="str">
        <f>IF(mtx_base_7!B26 = "","",mtx_base_7!B26)</f>
        <v/>
      </c>
      <c r="C375" s="114" t="str">
        <f>IF(mtx_base_7!C26 = "","",mtx_base_7!C26)</f>
        <v/>
      </c>
      <c r="D375" s="45" t="e">
        <f t="shared" si="236"/>
        <v>#DIV/0!</v>
      </c>
      <c r="E375" s="77" t="e">
        <f t="shared" si="237"/>
        <v>#DIV/0!</v>
      </c>
      <c r="F375" s="47" t="e">
        <f t="shared" si="248"/>
        <v>#DIV/0!</v>
      </c>
      <c r="G375" s="48" t="e">
        <f t="shared" si="249"/>
        <v>#VALUE!</v>
      </c>
      <c r="H375" s="48" t="e">
        <f t="shared" si="250"/>
        <v>#VALUE!</v>
      </c>
      <c r="I375" s="47" t="e">
        <f t="shared" si="251"/>
        <v>#VALUE!</v>
      </c>
      <c r="J375" s="47" t="e">
        <f t="shared" si="252"/>
        <v>#VALUE!</v>
      </c>
      <c r="K375" s="47" t="e">
        <f t="shared" si="253"/>
        <v>#VALUE!</v>
      </c>
      <c r="L375" s="49" t="e">
        <f t="shared" si="254"/>
        <v>#VALUE!</v>
      </c>
      <c r="M375" s="50" t="e">
        <f t="shared" si="255"/>
        <v>#VALUE!</v>
      </c>
      <c r="N375" s="51" t="e">
        <f t="shared" si="256"/>
        <v>#VALUE!</v>
      </c>
      <c r="O375" s="52" t="e">
        <f t="shared" si="257"/>
        <v>#VALUE!</v>
      </c>
      <c r="P375" s="28"/>
    </row>
    <row r="376" spans="1:16" x14ac:dyDescent="0.45">
      <c r="A376" s="112">
        <f t="shared" si="247"/>
        <v>0</v>
      </c>
      <c r="B376" s="114" t="str">
        <f>IF(mtx_base_7!B27 = "","",mtx_base_7!B27)</f>
        <v/>
      </c>
      <c r="C376" s="114" t="str">
        <f>IF(mtx_base_7!C27 = "","",mtx_base_7!C27)</f>
        <v/>
      </c>
      <c r="D376" s="45" t="e">
        <f t="shared" si="236"/>
        <v>#DIV/0!</v>
      </c>
      <c r="E376" s="77" t="e">
        <f t="shared" si="237"/>
        <v>#DIV/0!</v>
      </c>
      <c r="F376" s="47" t="e">
        <f t="shared" si="248"/>
        <v>#DIV/0!</v>
      </c>
      <c r="G376" s="48" t="e">
        <f t="shared" si="249"/>
        <v>#VALUE!</v>
      </c>
      <c r="H376" s="48" t="e">
        <f t="shared" si="250"/>
        <v>#VALUE!</v>
      </c>
      <c r="I376" s="47" t="e">
        <f t="shared" si="251"/>
        <v>#VALUE!</v>
      </c>
      <c r="J376" s="47" t="e">
        <f t="shared" si="252"/>
        <v>#VALUE!</v>
      </c>
      <c r="K376" s="47" t="e">
        <f t="shared" si="253"/>
        <v>#VALUE!</v>
      </c>
      <c r="L376" s="49" t="e">
        <f t="shared" si="254"/>
        <v>#VALUE!</v>
      </c>
      <c r="M376" s="50" t="e">
        <f t="shared" si="255"/>
        <v>#VALUE!</v>
      </c>
      <c r="N376" s="51" t="e">
        <f t="shared" si="256"/>
        <v>#VALUE!</v>
      </c>
      <c r="O376" s="52" t="e">
        <f t="shared" si="257"/>
        <v>#VALUE!</v>
      </c>
      <c r="P376" s="28"/>
    </row>
    <row r="377" spans="1:16" x14ac:dyDescent="0.45">
      <c r="A377" s="112">
        <f t="shared" si="247"/>
        <v>0</v>
      </c>
      <c r="B377" s="114" t="str">
        <f>IF(mtx_base_7!B28 = "","",mtx_base_7!B28)</f>
        <v/>
      </c>
      <c r="C377" s="114" t="str">
        <f>IF(mtx_base_7!C28 = "","",mtx_base_7!C28)</f>
        <v/>
      </c>
      <c r="D377" s="45" t="e">
        <f t="shared" si="236"/>
        <v>#DIV/0!</v>
      </c>
      <c r="E377" s="77" t="e">
        <f t="shared" si="237"/>
        <v>#DIV/0!</v>
      </c>
      <c r="F377" s="47" t="e">
        <f t="shared" si="248"/>
        <v>#DIV/0!</v>
      </c>
      <c r="G377" s="48" t="e">
        <f t="shared" si="249"/>
        <v>#VALUE!</v>
      </c>
      <c r="H377" s="48" t="e">
        <f t="shared" si="250"/>
        <v>#VALUE!</v>
      </c>
      <c r="I377" s="47" t="e">
        <f t="shared" si="251"/>
        <v>#VALUE!</v>
      </c>
      <c r="J377" s="47" t="e">
        <f t="shared" si="252"/>
        <v>#VALUE!</v>
      </c>
      <c r="K377" s="47" t="e">
        <f t="shared" si="253"/>
        <v>#VALUE!</v>
      </c>
      <c r="L377" s="49" t="e">
        <f t="shared" si="254"/>
        <v>#VALUE!</v>
      </c>
      <c r="M377" s="50" t="e">
        <f t="shared" si="255"/>
        <v>#VALUE!</v>
      </c>
      <c r="N377" s="51" t="e">
        <f t="shared" si="256"/>
        <v>#VALUE!</v>
      </c>
      <c r="O377" s="52" t="e">
        <f t="shared" si="257"/>
        <v>#VALUE!</v>
      </c>
      <c r="P377" s="28"/>
    </row>
    <row r="378" spans="1:16" x14ac:dyDescent="0.45">
      <c r="A378" s="112">
        <f t="shared" si="247"/>
        <v>0</v>
      </c>
      <c r="B378" s="114" t="str">
        <f>IF(mtx_base_7!B29 = "","",mtx_base_7!B29)</f>
        <v/>
      </c>
      <c r="C378" s="114" t="str">
        <f>IF(mtx_base_7!C29 = "","",mtx_base_7!C29)</f>
        <v/>
      </c>
      <c r="D378" s="45" t="e">
        <f t="shared" si="236"/>
        <v>#DIV/0!</v>
      </c>
      <c r="E378" s="77" t="e">
        <f t="shared" si="237"/>
        <v>#DIV/0!</v>
      </c>
      <c r="F378" s="47" t="e">
        <f t="shared" si="248"/>
        <v>#DIV/0!</v>
      </c>
      <c r="G378" s="48" t="e">
        <f t="shared" si="249"/>
        <v>#VALUE!</v>
      </c>
      <c r="H378" s="48" t="e">
        <f t="shared" si="250"/>
        <v>#VALUE!</v>
      </c>
      <c r="I378" s="47" t="e">
        <f t="shared" si="251"/>
        <v>#VALUE!</v>
      </c>
      <c r="J378" s="47" t="e">
        <f t="shared" si="252"/>
        <v>#VALUE!</v>
      </c>
      <c r="K378" s="47" t="e">
        <f t="shared" si="253"/>
        <v>#VALUE!</v>
      </c>
      <c r="L378" s="49" t="e">
        <f t="shared" si="254"/>
        <v>#VALUE!</v>
      </c>
      <c r="M378" s="50" t="e">
        <f t="shared" si="255"/>
        <v>#VALUE!</v>
      </c>
      <c r="N378" s="51" t="e">
        <f t="shared" si="256"/>
        <v>#VALUE!</v>
      </c>
      <c r="O378" s="52" t="e">
        <f t="shared" si="257"/>
        <v>#VALUE!</v>
      </c>
      <c r="P378" s="28"/>
    </row>
    <row r="379" spans="1:16" x14ac:dyDescent="0.45">
      <c r="A379" s="112">
        <f t="shared" si="247"/>
        <v>0</v>
      </c>
      <c r="B379" s="114" t="str">
        <f>IF(mtx_base_7!B30 = "","",mtx_base_7!B30)</f>
        <v/>
      </c>
      <c r="C379" s="114" t="str">
        <f>IF(mtx_base_7!C30 = "","",mtx_base_7!C30)</f>
        <v/>
      </c>
      <c r="D379" s="45" t="e">
        <f t="shared" si="236"/>
        <v>#DIV/0!</v>
      </c>
      <c r="E379" s="77" t="e">
        <f t="shared" si="237"/>
        <v>#DIV/0!</v>
      </c>
      <c r="F379" s="47" t="e">
        <f t="shared" si="248"/>
        <v>#DIV/0!</v>
      </c>
      <c r="G379" s="48" t="e">
        <f t="shared" si="249"/>
        <v>#VALUE!</v>
      </c>
      <c r="H379" s="48" t="e">
        <f t="shared" si="250"/>
        <v>#VALUE!</v>
      </c>
      <c r="I379" s="47" t="e">
        <f t="shared" si="251"/>
        <v>#VALUE!</v>
      </c>
      <c r="J379" s="47" t="e">
        <f t="shared" si="252"/>
        <v>#VALUE!</v>
      </c>
      <c r="K379" s="47" t="e">
        <f t="shared" si="253"/>
        <v>#VALUE!</v>
      </c>
      <c r="L379" s="49" t="e">
        <f t="shared" si="254"/>
        <v>#VALUE!</v>
      </c>
      <c r="M379" s="50" t="e">
        <f t="shared" si="255"/>
        <v>#VALUE!</v>
      </c>
      <c r="N379" s="51" t="e">
        <f t="shared" si="256"/>
        <v>#VALUE!</v>
      </c>
      <c r="O379" s="52" t="e">
        <f t="shared" si="257"/>
        <v>#VALUE!</v>
      </c>
      <c r="P379" s="28"/>
    </row>
    <row r="380" spans="1:16" x14ac:dyDescent="0.45">
      <c r="A380" s="112">
        <f t="shared" si="247"/>
        <v>0</v>
      </c>
      <c r="B380" s="114" t="str">
        <f>IF(mtx_base_7!B31 = "","",mtx_base_7!B31)</f>
        <v/>
      </c>
      <c r="C380" s="114" t="str">
        <f>IF(mtx_base_7!C31 = "","",mtx_base_7!C31)</f>
        <v/>
      </c>
      <c r="D380" s="45" t="e">
        <f t="shared" si="236"/>
        <v>#DIV/0!</v>
      </c>
      <c r="E380" s="77" t="e">
        <f t="shared" si="237"/>
        <v>#DIV/0!</v>
      </c>
      <c r="F380" s="47" t="e">
        <f t="shared" si="248"/>
        <v>#DIV/0!</v>
      </c>
      <c r="G380" s="48" t="e">
        <f t="shared" si="249"/>
        <v>#VALUE!</v>
      </c>
      <c r="H380" s="48" t="e">
        <f t="shared" si="250"/>
        <v>#VALUE!</v>
      </c>
      <c r="I380" s="47" t="e">
        <f t="shared" si="251"/>
        <v>#VALUE!</v>
      </c>
      <c r="J380" s="47" t="e">
        <f t="shared" si="252"/>
        <v>#VALUE!</v>
      </c>
      <c r="K380" s="47" t="e">
        <f t="shared" si="253"/>
        <v>#VALUE!</v>
      </c>
      <c r="L380" s="49" t="e">
        <f t="shared" si="254"/>
        <v>#VALUE!</v>
      </c>
      <c r="M380" s="50" t="e">
        <f t="shared" si="255"/>
        <v>#VALUE!</v>
      </c>
      <c r="N380" s="51" t="e">
        <f t="shared" si="256"/>
        <v>#VALUE!</v>
      </c>
      <c r="O380" s="52" t="e">
        <f t="shared" si="257"/>
        <v>#VALUE!</v>
      </c>
      <c r="P380" s="28"/>
    </row>
    <row r="381" spans="1:16" x14ac:dyDescent="0.45">
      <c r="A381" s="112">
        <f t="shared" si="247"/>
        <v>0</v>
      </c>
      <c r="B381" s="114" t="str">
        <f>IF(mtx_base_7!B32 = "","",mtx_base_7!B32)</f>
        <v/>
      </c>
      <c r="C381" s="114" t="str">
        <f>IF(mtx_base_7!C32 = "","",mtx_base_7!C32)</f>
        <v/>
      </c>
      <c r="D381" s="45" t="e">
        <f t="shared" si="236"/>
        <v>#DIV/0!</v>
      </c>
      <c r="E381" s="77" t="e">
        <f t="shared" si="237"/>
        <v>#DIV/0!</v>
      </c>
      <c r="F381" s="47" t="e">
        <f t="shared" si="248"/>
        <v>#DIV/0!</v>
      </c>
      <c r="G381" s="48" t="e">
        <f t="shared" si="249"/>
        <v>#VALUE!</v>
      </c>
      <c r="H381" s="48" t="e">
        <f t="shared" si="250"/>
        <v>#VALUE!</v>
      </c>
      <c r="I381" s="47" t="e">
        <f t="shared" si="251"/>
        <v>#VALUE!</v>
      </c>
      <c r="J381" s="47" t="e">
        <f t="shared" si="252"/>
        <v>#VALUE!</v>
      </c>
      <c r="K381" s="47" t="e">
        <f t="shared" si="253"/>
        <v>#VALUE!</v>
      </c>
      <c r="L381" s="49" t="e">
        <f t="shared" si="254"/>
        <v>#VALUE!</v>
      </c>
      <c r="M381" s="50" t="e">
        <f t="shared" si="255"/>
        <v>#VALUE!</v>
      </c>
      <c r="N381" s="51" t="e">
        <f t="shared" si="256"/>
        <v>#VALUE!</v>
      </c>
      <c r="O381" s="52" t="e">
        <f t="shared" si="257"/>
        <v>#VALUE!</v>
      </c>
      <c r="P381" s="28"/>
    </row>
    <row r="382" spans="1:16" x14ac:dyDescent="0.45">
      <c r="A382" s="112">
        <f t="shared" si="247"/>
        <v>0</v>
      </c>
      <c r="B382" s="114" t="str">
        <f>IF(mtx_base_7!B33 = "","",mtx_base_7!B33)</f>
        <v/>
      </c>
      <c r="C382" s="114" t="str">
        <f>IF(mtx_base_7!C33 = "","",mtx_base_7!C33)</f>
        <v/>
      </c>
      <c r="D382" s="45" t="e">
        <f t="shared" si="236"/>
        <v>#DIV/0!</v>
      </c>
      <c r="E382" s="77" t="e">
        <f t="shared" si="237"/>
        <v>#DIV/0!</v>
      </c>
      <c r="F382" s="47" t="e">
        <f t="shared" si="248"/>
        <v>#DIV/0!</v>
      </c>
      <c r="G382" s="48" t="e">
        <f t="shared" si="249"/>
        <v>#VALUE!</v>
      </c>
      <c r="H382" s="48" t="e">
        <f t="shared" si="250"/>
        <v>#VALUE!</v>
      </c>
      <c r="I382" s="47" t="e">
        <f t="shared" si="251"/>
        <v>#VALUE!</v>
      </c>
      <c r="J382" s="47" t="e">
        <f t="shared" si="252"/>
        <v>#VALUE!</v>
      </c>
      <c r="K382" s="47" t="e">
        <f t="shared" si="253"/>
        <v>#VALUE!</v>
      </c>
      <c r="L382" s="49" t="e">
        <f t="shared" si="254"/>
        <v>#VALUE!</v>
      </c>
      <c r="M382" s="50" t="e">
        <f t="shared" si="255"/>
        <v>#VALUE!</v>
      </c>
      <c r="N382" s="51" t="e">
        <f t="shared" si="256"/>
        <v>#VALUE!</v>
      </c>
      <c r="O382" s="52" t="e">
        <f t="shared" si="257"/>
        <v>#VALUE!</v>
      </c>
      <c r="P382" s="28"/>
    </row>
    <row r="383" spans="1:16" x14ac:dyDescent="0.45">
      <c r="A383" s="112">
        <f t="shared" si="247"/>
        <v>0</v>
      </c>
      <c r="B383" s="114" t="str">
        <f>IF(mtx_base_7!B34 = "","",mtx_base_7!B34)</f>
        <v/>
      </c>
      <c r="C383" s="114" t="str">
        <f>IF(mtx_base_7!C34 = "","",mtx_base_7!C34)</f>
        <v/>
      </c>
      <c r="D383" s="45" t="e">
        <f t="shared" si="236"/>
        <v>#DIV/0!</v>
      </c>
      <c r="E383" s="77" t="e">
        <f t="shared" si="237"/>
        <v>#DIV/0!</v>
      </c>
      <c r="F383" s="47" t="e">
        <f t="shared" si="248"/>
        <v>#DIV/0!</v>
      </c>
      <c r="G383" s="48" t="e">
        <f t="shared" si="249"/>
        <v>#VALUE!</v>
      </c>
      <c r="H383" s="48" t="e">
        <f t="shared" si="250"/>
        <v>#VALUE!</v>
      </c>
      <c r="I383" s="47" t="e">
        <f t="shared" si="251"/>
        <v>#VALUE!</v>
      </c>
      <c r="J383" s="47" t="e">
        <f t="shared" si="252"/>
        <v>#VALUE!</v>
      </c>
      <c r="K383" s="47" t="e">
        <f t="shared" si="253"/>
        <v>#VALUE!</v>
      </c>
      <c r="L383" s="49" t="e">
        <f t="shared" si="254"/>
        <v>#VALUE!</v>
      </c>
      <c r="M383" s="50" t="e">
        <f t="shared" si="255"/>
        <v>#VALUE!</v>
      </c>
      <c r="N383" s="51" t="e">
        <f t="shared" si="256"/>
        <v>#VALUE!</v>
      </c>
      <c r="O383" s="52" t="e">
        <f t="shared" si="257"/>
        <v>#VALUE!</v>
      </c>
      <c r="P383" s="28"/>
    </row>
    <row r="384" spans="1:16" x14ac:dyDescent="0.45">
      <c r="A384" s="112">
        <f t="shared" si="247"/>
        <v>0</v>
      </c>
      <c r="B384" s="114" t="str">
        <f>IF(mtx_base_7!B35 = "","",mtx_base_7!B35)</f>
        <v/>
      </c>
      <c r="C384" s="114" t="str">
        <f>IF(mtx_base_7!C35 = "","",mtx_base_7!C35)</f>
        <v/>
      </c>
      <c r="D384" s="45" t="e">
        <f t="shared" si="236"/>
        <v>#DIV/0!</v>
      </c>
      <c r="E384" s="77" t="e">
        <f t="shared" si="237"/>
        <v>#DIV/0!</v>
      </c>
      <c r="F384" s="47" t="e">
        <f t="shared" si="248"/>
        <v>#DIV/0!</v>
      </c>
      <c r="G384" s="48" t="e">
        <f t="shared" si="249"/>
        <v>#VALUE!</v>
      </c>
      <c r="H384" s="48" t="e">
        <f t="shared" si="250"/>
        <v>#VALUE!</v>
      </c>
      <c r="I384" s="47" t="e">
        <f t="shared" si="251"/>
        <v>#VALUE!</v>
      </c>
      <c r="J384" s="47" t="e">
        <f t="shared" si="252"/>
        <v>#VALUE!</v>
      </c>
      <c r="K384" s="47" t="e">
        <f t="shared" si="253"/>
        <v>#VALUE!</v>
      </c>
      <c r="L384" s="49" t="e">
        <f t="shared" si="254"/>
        <v>#VALUE!</v>
      </c>
      <c r="M384" s="50" t="e">
        <f t="shared" si="255"/>
        <v>#VALUE!</v>
      </c>
      <c r="N384" s="51" t="e">
        <f t="shared" si="256"/>
        <v>#VALUE!</v>
      </c>
      <c r="O384" s="52" t="e">
        <f t="shared" si="257"/>
        <v>#VALUE!</v>
      </c>
      <c r="P384" s="28"/>
    </row>
    <row r="385" spans="1:16" x14ac:dyDescent="0.45">
      <c r="A385" s="112">
        <f t="shared" si="247"/>
        <v>0</v>
      </c>
      <c r="B385" s="114" t="str">
        <f>IF(mtx_base_7!B36 = "","",mtx_base_7!B36)</f>
        <v/>
      </c>
      <c r="C385" s="114" t="str">
        <f>IF(mtx_base_7!C36 = "","",mtx_base_7!C36)</f>
        <v/>
      </c>
      <c r="D385" s="45" t="e">
        <f t="shared" si="236"/>
        <v>#DIV/0!</v>
      </c>
      <c r="E385" s="77" t="e">
        <f t="shared" si="237"/>
        <v>#DIV/0!</v>
      </c>
      <c r="F385" s="47" t="e">
        <f t="shared" si="248"/>
        <v>#DIV/0!</v>
      </c>
      <c r="G385" s="48" t="e">
        <f t="shared" si="249"/>
        <v>#VALUE!</v>
      </c>
      <c r="H385" s="48" t="e">
        <f t="shared" si="250"/>
        <v>#VALUE!</v>
      </c>
      <c r="I385" s="47" t="e">
        <f t="shared" si="251"/>
        <v>#VALUE!</v>
      </c>
      <c r="J385" s="47" t="e">
        <f t="shared" si="252"/>
        <v>#VALUE!</v>
      </c>
      <c r="K385" s="47" t="e">
        <f t="shared" si="253"/>
        <v>#VALUE!</v>
      </c>
      <c r="L385" s="49" t="e">
        <f t="shared" si="254"/>
        <v>#VALUE!</v>
      </c>
      <c r="M385" s="50" t="e">
        <f t="shared" si="255"/>
        <v>#VALUE!</v>
      </c>
      <c r="N385" s="51" t="e">
        <f t="shared" si="256"/>
        <v>#VALUE!</v>
      </c>
      <c r="O385" s="52" t="e">
        <f t="shared" si="257"/>
        <v>#VALUE!</v>
      </c>
      <c r="P385" s="28"/>
    </row>
    <row r="386" spans="1:16" x14ac:dyDescent="0.45">
      <c r="A386" s="112">
        <f t="shared" si="247"/>
        <v>0</v>
      </c>
      <c r="B386" s="114" t="str">
        <f>IF(mtx_base_7!B37 = "","",mtx_base_7!B37)</f>
        <v/>
      </c>
      <c r="C386" s="114" t="str">
        <f>IF(mtx_base_7!C37 = "","",mtx_base_7!C37)</f>
        <v/>
      </c>
      <c r="D386" s="45" t="e">
        <f t="shared" si="236"/>
        <v>#DIV/0!</v>
      </c>
      <c r="E386" s="77" t="e">
        <f t="shared" si="237"/>
        <v>#DIV/0!</v>
      </c>
      <c r="F386" s="47" t="e">
        <f t="shared" si="248"/>
        <v>#DIV/0!</v>
      </c>
      <c r="G386" s="48" t="e">
        <f t="shared" si="249"/>
        <v>#VALUE!</v>
      </c>
      <c r="H386" s="48" t="e">
        <f t="shared" si="250"/>
        <v>#VALUE!</v>
      </c>
      <c r="I386" s="47" t="e">
        <f t="shared" si="251"/>
        <v>#VALUE!</v>
      </c>
      <c r="J386" s="47" t="e">
        <f t="shared" si="252"/>
        <v>#VALUE!</v>
      </c>
      <c r="K386" s="47" t="e">
        <f t="shared" si="253"/>
        <v>#VALUE!</v>
      </c>
      <c r="L386" s="49" t="e">
        <f t="shared" si="254"/>
        <v>#VALUE!</v>
      </c>
      <c r="M386" s="50" t="e">
        <f t="shared" si="255"/>
        <v>#VALUE!</v>
      </c>
      <c r="N386" s="51" t="e">
        <f t="shared" si="256"/>
        <v>#VALUE!</v>
      </c>
      <c r="O386" s="52" t="e">
        <f t="shared" si="257"/>
        <v>#VALUE!</v>
      </c>
      <c r="P386" s="28"/>
    </row>
    <row r="387" spans="1:16" x14ac:dyDescent="0.45">
      <c r="A387" s="112">
        <f t="shared" si="247"/>
        <v>0</v>
      </c>
      <c r="B387" s="114" t="str">
        <f>IF(mtx_base_7!B38 = "","",mtx_base_7!B38)</f>
        <v/>
      </c>
      <c r="C387" s="114" t="str">
        <f>IF(mtx_base_7!C38 = "","",mtx_base_7!C38)</f>
        <v/>
      </c>
      <c r="D387" s="45" t="e">
        <f t="shared" si="236"/>
        <v>#DIV/0!</v>
      </c>
      <c r="E387" s="77" t="e">
        <f t="shared" si="237"/>
        <v>#DIV/0!</v>
      </c>
      <c r="F387" s="47" t="e">
        <f t="shared" si="248"/>
        <v>#DIV/0!</v>
      </c>
      <c r="G387" s="48" t="e">
        <f t="shared" si="249"/>
        <v>#VALUE!</v>
      </c>
      <c r="H387" s="48" t="e">
        <f t="shared" si="250"/>
        <v>#VALUE!</v>
      </c>
      <c r="I387" s="47" t="e">
        <f t="shared" si="251"/>
        <v>#VALUE!</v>
      </c>
      <c r="J387" s="47" t="e">
        <f t="shared" si="252"/>
        <v>#VALUE!</v>
      </c>
      <c r="K387" s="47" t="e">
        <f t="shared" si="253"/>
        <v>#VALUE!</v>
      </c>
      <c r="L387" s="49" t="e">
        <f t="shared" si="254"/>
        <v>#VALUE!</v>
      </c>
      <c r="M387" s="50" t="e">
        <f t="shared" si="255"/>
        <v>#VALUE!</v>
      </c>
      <c r="N387" s="51" t="e">
        <f t="shared" si="256"/>
        <v>#VALUE!</v>
      </c>
      <c r="O387" s="52" t="e">
        <f t="shared" si="257"/>
        <v>#VALUE!</v>
      </c>
      <c r="P387" s="28"/>
    </row>
    <row r="388" spans="1:16" x14ac:dyDescent="0.45">
      <c r="A388" s="112">
        <f t="shared" si="247"/>
        <v>0</v>
      </c>
      <c r="B388" s="114" t="str">
        <f>IF(mtx_base_7!B39 = "","",mtx_base_7!B39)</f>
        <v/>
      </c>
      <c r="C388" s="114" t="str">
        <f>IF(mtx_base_7!C39 = "","",mtx_base_7!C39)</f>
        <v/>
      </c>
      <c r="D388" s="45" t="e">
        <f t="shared" si="236"/>
        <v>#DIV/0!</v>
      </c>
      <c r="E388" s="77" t="e">
        <f t="shared" si="237"/>
        <v>#DIV/0!</v>
      </c>
      <c r="F388" s="47" t="e">
        <f t="shared" si="248"/>
        <v>#DIV/0!</v>
      </c>
      <c r="G388" s="48" t="e">
        <f t="shared" si="249"/>
        <v>#VALUE!</v>
      </c>
      <c r="H388" s="48" t="e">
        <f t="shared" si="250"/>
        <v>#VALUE!</v>
      </c>
      <c r="I388" s="47" t="e">
        <f t="shared" si="251"/>
        <v>#VALUE!</v>
      </c>
      <c r="J388" s="47" t="e">
        <f t="shared" si="252"/>
        <v>#VALUE!</v>
      </c>
      <c r="K388" s="47" t="e">
        <f t="shared" si="253"/>
        <v>#VALUE!</v>
      </c>
      <c r="L388" s="49" t="e">
        <f t="shared" si="254"/>
        <v>#VALUE!</v>
      </c>
      <c r="M388" s="50" t="e">
        <f t="shared" si="255"/>
        <v>#VALUE!</v>
      </c>
      <c r="N388" s="51" t="e">
        <f t="shared" si="256"/>
        <v>#VALUE!</v>
      </c>
      <c r="O388" s="52" t="e">
        <f t="shared" si="257"/>
        <v>#VALUE!</v>
      </c>
      <c r="P388" s="28"/>
    </row>
    <row r="389" spans="1:16" x14ac:dyDescent="0.45">
      <c r="A389" s="112">
        <f t="shared" si="247"/>
        <v>0</v>
      </c>
      <c r="B389" s="114" t="str">
        <f>IF(mtx_base_7!B40 = "","",mtx_base_7!B40)</f>
        <v/>
      </c>
      <c r="C389" s="114" t="str">
        <f>IF(mtx_base_7!C40 = "","",mtx_base_7!C40)</f>
        <v/>
      </c>
      <c r="D389" s="45" t="e">
        <f t="shared" si="236"/>
        <v>#DIV/0!</v>
      </c>
      <c r="E389" s="77" t="e">
        <f t="shared" si="237"/>
        <v>#DIV/0!</v>
      </c>
      <c r="F389" s="47" t="e">
        <f t="shared" si="248"/>
        <v>#DIV/0!</v>
      </c>
      <c r="G389" s="48" t="e">
        <f t="shared" si="249"/>
        <v>#VALUE!</v>
      </c>
      <c r="H389" s="48" t="e">
        <f t="shared" si="250"/>
        <v>#VALUE!</v>
      </c>
      <c r="I389" s="47" t="e">
        <f t="shared" si="251"/>
        <v>#VALUE!</v>
      </c>
      <c r="J389" s="47" t="e">
        <f t="shared" si="252"/>
        <v>#VALUE!</v>
      </c>
      <c r="K389" s="47" t="e">
        <f t="shared" si="253"/>
        <v>#VALUE!</v>
      </c>
      <c r="L389" s="49" t="e">
        <f t="shared" si="254"/>
        <v>#VALUE!</v>
      </c>
      <c r="M389" s="50" t="e">
        <f t="shared" si="255"/>
        <v>#VALUE!</v>
      </c>
      <c r="N389" s="51" t="e">
        <f t="shared" si="256"/>
        <v>#VALUE!</v>
      </c>
      <c r="O389" s="52" t="e">
        <f t="shared" si="257"/>
        <v>#VALUE!</v>
      </c>
      <c r="P389" s="28"/>
    </row>
    <row r="390" spans="1:16" x14ac:dyDescent="0.45">
      <c r="A390" s="112">
        <f t="shared" si="247"/>
        <v>0</v>
      </c>
      <c r="B390" s="114" t="str">
        <f>IF(mtx_base_7!B41 = "","",mtx_base_7!B41)</f>
        <v/>
      </c>
      <c r="C390" s="114" t="str">
        <f>IF(mtx_base_7!C41 = "","",mtx_base_7!C41)</f>
        <v/>
      </c>
      <c r="D390" s="45" t="e">
        <f t="shared" si="236"/>
        <v>#DIV/0!</v>
      </c>
      <c r="E390" s="77" t="e">
        <f t="shared" si="237"/>
        <v>#DIV/0!</v>
      </c>
      <c r="F390" s="47" t="e">
        <f t="shared" si="248"/>
        <v>#DIV/0!</v>
      </c>
      <c r="G390" s="48" t="e">
        <f t="shared" si="249"/>
        <v>#VALUE!</v>
      </c>
      <c r="H390" s="48" t="e">
        <f t="shared" si="250"/>
        <v>#VALUE!</v>
      </c>
      <c r="I390" s="47" t="e">
        <f t="shared" si="251"/>
        <v>#VALUE!</v>
      </c>
      <c r="J390" s="47" t="e">
        <f t="shared" si="252"/>
        <v>#VALUE!</v>
      </c>
      <c r="K390" s="47" t="e">
        <f t="shared" si="253"/>
        <v>#VALUE!</v>
      </c>
      <c r="L390" s="49" t="e">
        <f t="shared" si="254"/>
        <v>#VALUE!</v>
      </c>
      <c r="M390" s="50" t="e">
        <f t="shared" si="255"/>
        <v>#VALUE!</v>
      </c>
      <c r="N390" s="51" t="e">
        <f t="shared" si="256"/>
        <v>#VALUE!</v>
      </c>
      <c r="O390" s="52" t="e">
        <f t="shared" si="257"/>
        <v>#VALUE!</v>
      </c>
      <c r="P390" s="28"/>
    </row>
    <row r="391" spans="1:16" x14ac:dyDescent="0.45">
      <c r="A391" s="112">
        <f t="shared" si="247"/>
        <v>0</v>
      </c>
      <c r="B391" s="114" t="str">
        <f>IF(mtx_base_7!B42 = "","",mtx_base_7!B42)</f>
        <v/>
      </c>
      <c r="C391" s="114" t="str">
        <f>IF(mtx_base_7!C42 = "","",mtx_base_7!C42)</f>
        <v/>
      </c>
      <c r="D391" s="45" t="e">
        <f t="shared" si="236"/>
        <v>#DIV/0!</v>
      </c>
      <c r="E391" s="77" t="e">
        <f t="shared" si="237"/>
        <v>#DIV/0!</v>
      </c>
      <c r="F391" s="47" t="e">
        <f t="shared" si="248"/>
        <v>#DIV/0!</v>
      </c>
      <c r="G391" s="48" t="e">
        <f t="shared" si="249"/>
        <v>#VALUE!</v>
      </c>
      <c r="H391" s="48" t="e">
        <f t="shared" si="250"/>
        <v>#VALUE!</v>
      </c>
      <c r="I391" s="47" t="e">
        <f t="shared" si="251"/>
        <v>#VALUE!</v>
      </c>
      <c r="J391" s="47" t="e">
        <f t="shared" si="252"/>
        <v>#VALUE!</v>
      </c>
      <c r="K391" s="47" t="e">
        <f t="shared" si="253"/>
        <v>#VALUE!</v>
      </c>
      <c r="L391" s="49" t="e">
        <f t="shared" si="254"/>
        <v>#VALUE!</v>
      </c>
      <c r="M391" s="50" t="e">
        <f t="shared" si="255"/>
        <v>#VALUE!</v>
      </c>
      <c r="N391" s="51" t="e">
        <f t="shared" si="256"/>
        <v>#VALUE!</v>
      </c>
      <c r="O391" s="52" t="e">
        <f t="shared" si="257"/>
        <v>#VALUE!</v>
      </c>
      <c r="P391" s="28"/>
    </row>
    <row r="392" spans="1:16" x14ac:dyDescent="0.45">
      <c r="A392" s="112">
        <f t="shared" si="247"/>
        <v>0</v>
      </c>
      <c r="B392" s="114" t="str">
        <f>IF(mtx_base_7!B43 = "","",mtx_base_7!B43)</f>
        <v/>
      </c>
      <c r="C392" s="114" t="str">
        <f>IF(mtx_base_7!C43 = "","",mtx_base_7!C43)</f>
        <v/>
      </c>
      <c r="D392" s="45" t="e">
        <f t="shared" si="236"/>
        <v>#DIV/0!</v>
      </c>
      <c r="E392" s="77" t="e">
        <f t="shared" si="237"/>
        <v>#DIV/0!</v>
      </c>
      <c r="F392" s="47" t="e">
        <f t="shared" si="248"/>
        <v>#DIV/0!</v>
      </c>
      <c r="G392" s="48" t="e">
        <f t="shared" si="249"/>
        <v>#VALUE!</v>
      </c>
      <c r="H392" s="48" t="e">
        <f t="shared" si="250"/>
        <v>#VALUE!</v>
      </c>
      <c r="I392" s="47" t="e">
        <f t="shared" si="251"/>
        <v>#VALUE!</v>
      </c>
      <c r="J392" s="47" t="e">
        <f t="shared" si="252"/>
        <v>#VALUE!</v>
      </c>
      <c r="K392" s="47" t="e">
        <f t="shared" si="253"/>
        <v>#VALUE!</v>
      </c>
      <c r="L392" s="49" t="e">
        <f t="shared" si="254"/>
        <v>#VALUE!</v>
      </c>
      <c r="M392" s="50" t="e">
        <f t="shared" si="255"/>
        <v>#VALUE!</v>
      </c>
      <c r="N392" s="51" t="e">
        <f t="shared" si="256"/>
        <v>#VALUE!</v>
      </c>
      <c r="O392" s="52" t="e">
        <f t="shared" si="257"/>
        <v>#VALUE!</v>
      </c>
      <c r="P392" s="28"/>
    </row>
    <row r="393" spans="1:16" x14ac:dyDescent="0.45">
      <c r="A393" s="112">
        <f t="shared" si="247"/>
        <v>0</v>
      </c>
      <c r="B393" s="114" t="str">
        <f>IF(mtx_base_7!B44 = "","",mtx_base_7!B44)</f>
        <v/>
      </c>
      <c r="C393" s="114" t="str">
        <f>IF(mtx_base_7!C44 = "","",mtx_base_7!C44)</f>
        <v/>
      </c>
      <c r="D393" s="45" t="e">
        <f t="shared" si="236"/>
        <v>#DIV/0!</v>
      </c>
      <c r="E393" s="77" t="e">
        <f t="shared" si="237"/>
        <v>#DIV/0!</v>
      </c>
      <c r="F393" s="47" t="e">
        <f t="shared" ref="F393:F417" si="258">IF(AND(B393&lt;D393,C393&lt;E393),"Blue",(IF(AND(B393&lt;D393,C393&gt;E393),"Red",(IF(AND(B393&gt;D393,C393&gt;E393),"Green",(IF(AND(B393&gt;D393,C393&lt;E393),"Yellow")))))))</f>
        <v>#DIV/0!</v>
      </c>
      <c r="G393" s="48" t="e">
        <f t="shared" ref="G393:H412" si="259">B393-D393</f>
        <v>#VALUE!</v>
      </c>
      <c r="H393" s="48" t="e">
        <f t="shared" si="259"/>
        <v>#VALUE!</v>
      </c>
      <c r="I393" s="47" t="e">
        <f t="shared" ref="I393:I417" si="260">IF((ABS(G393)&lt;$E$364),"TIE",F393)</f>
        <v>#VALUE!</v>
      </c>
      <c r="J393" s="47" t="e">
        <f t="shared" ref="J393:J417" si="261">IF((ABS(H393)&lt;$F$364),"TIE",F393)</f>
        <v>#VALUE!</v>
      </c>
      <c r="K393" s="47" t="e">
        <f t="shared" ref="K393:K417" si="262">IF(AND(I393&lt;&gt;"TIE",J393&lt;&gt;"TIE"),F393,"TIE")</f>
        <v>#VALUE!</v>
      </c>
      <c r="L393" s="49" t="e">
        <f t="shared" ref="L393:L417" si="263">IF(AND(I393="TIE",C393&gt;E393),"Red/Green",(IF(AND(I393="TIE",C393&lt;E393),"Blue/Yellow",(IF(AND(B393&lt;D393,J393="TIE"),"Red/Blue",(IF(AND(B393&gt;D393,J393="TIE"),"Green/Yellow")))))))</f>
        <v>#VALUE!</v>
      </c>
      <c r="M393" s="50" t="e">
        <f t="shared" ref="M393:M417" si="264">IF(AND(I393="TIE",J393="TIE"),"Four Way Tie",IF(L393=FALSE,K393,L393))</f>
        <v>#VALUE!</v>
      </c>
      <c r="N393" s="51" t="e">
        <f t="shared" ref="N393:O412" si="265">M393</f>
        <v>#VALUE!</v>
      </c>
      <c r="O393" s="52" t="e">
        <f t="shared" si="265"/>
        <v>#VALUE!</v>
      </c>
      <c r="P393" s="28"/>
    </row>
    <row r="394" spans="1:16" x14ac:dyDescent="0.45">
      <c r="A394" s="112">
        <f t="shared" si="247"/>
        <v>0</v>
      </c>
      <c r="B394" s="114" t="str">
        <f>IF(mtx_base_7!B45 = "","",mtx_base_7!B45)</f>
        <v/>
      </c>
      <c r="C394" s="114" t="str">
        <f>IF(mtx_base_7!C45 = "","",mtx_base_7!C45)</f>
        <v/>
      </c>
      <c r="D394" s="45" t="e">
        <f t="shared" si="236"/>
        <v>#DIV/0!</v>
      </c>
      <c r="E394" s="77" t="e">
        <f t="shared" si="237"/>
        <v>#DIV/0!</v>
      </c>
      <c r="F394" s="47" t="e">
        <f t="shared" si="258"/>
        <v>#DIV/0!</v>
      </c>
      <c r="G394" s="48" t="e">
        <f t="shared" si="259"/>
        <v>#VALUE!</v>
      </c>
      <c r="H394" s="48" t="e">
        <f t="shared" si="259"/>
        <v>#VALUE!</v>
      </c>
      <c r="I394" s="47" t="e">
        <f t="shared" si="260"/>
        <v>#VALUE!</v>
      </c>
      <c r="J394" s="47" t="e">
        <f t="shared" si="261"/>
        <v>#VALUE!</v>
      </c>
      <c r="K394" s="47" t="e">
        <f t="shared" si="262"/>
        <v>#VALUE!</v>
      </c>
      <c r="L394" s="49" t="e">
        <f t="shared" si="263"/>
        <v>#VALUE!</v>
      </c>
      <c r="M394" s="50" t="e">
        <f t="shared" si="264"/>
        <v>#VALUE!</v>
      </c>
      <c r="N394" s="51" t="e">
        <f t="shared" si="265"/>
        <v>#VALUE!</v>
      </c>
      <c r="O394" s="52" t="e">
        <f t="shared" si="265"/>
        <v>#VALUE!</v>
      </c>
      <c r="P394" s="28"/>
    </row>
    <row r="395" spans="1:16" x14ac:dyDescent="0.45">
      <c r="A395" s="112">
        <f t="shared" si="247"/>
        <v>0</v>
      </c>
      <c r="B395" s="114" t="str">
        <f>IF(mtx_base_7!B46 = "","",mtx_base_7!B46)</f>
        <v/>
      </c>
      <c r="C395" s="114" t="str">
        <f>IF(mtx_base_7!C46 = "","",mtx_base_7!C46)</f>
        <v/>
      </c>
      <c r="D395" s="45" t="e">
        <f t="shared" si="236"/>
        <v>#DIV/0!</v>
      </c>
      <c r="E395" s="77" t="e">
        <f t="shared" si="237"/>
        <v>#DIV/0!</v>
      </c>
      <c r="F395" s="47" t="e">
        <f t="shared" si="258"/>
        <v>#DIV/0!</v>
      </c>
      <c r="G395" s="48" t="e">
        <f t="shared" si="259"/>
        <v>#VALUE!</v>
      </c>
      <c r="H395" s="48" t="e">
        <f t="shared" si="259"/>
        <v>#VALUE!</v>
      </c>
      <c r="I395" s="47" t="e">
        <f t="shared" si="260"/>
        <v>#VALUE!</v>
      </c>
      <c r="J395" s="47" t="e">
        <f t="shared" si="261"/>
        <v>#VALUE!</v>
      </c>
      <c r="K395" s="47" t="e">
        <f t="shared" si="262"/>
        <v>#VALUE!</v>
      </c>
      <c r="L395" s="49" t="e">
        <f t="shared" si="263"/>
        <v>#VALUE!</v>
      </c>
      <c r="M395" s="50" t="e">
        <f t="shared" si="264"/>
        <v>#VALUE!</v>
      </c>
      <c r="N395" s="51" t="e">
        <f t="shared" si="265"/>
        <v>#VALUE!</v>
      </c>
      <c r="O395" s="52" t="e">
        <f t="shared" si="265"/>
        <v>#VALUE!</v>
      </c>
      <c r="P395" s="28"/>
    </row>
    <row r="396" spans="1:16" x14ac:dyDescent="0.45">
      <c r="A396" s="112">
        <f t="shared" si="247"/>
        <v>0</v>
      </c>
      <c r="B396" s="114" t="str">
        <f>IF(mtx_base_7!B47 = "","",mtx_base_7!B47)</f>
        <v/>
      </c>
      <c r="C396" s="114" t="str">
        <f>IF(mtx_base_7!C47 = "","",mtx_base_7!C47)</f>
        <v/>
      </c>
      <c r="D396" s="45" t="e">
        <f t="shared" si="236"/>
        <v>#DIV/0!</v>
      </c>
      <c r="E396" s="77" t="e">
        <f t="shared" si="237"/>
        <v>#DIV/0!</v>
      </c>
      <c r="F396" s="56" t="e">
        <f t="shared" si="258"/>
        <v>#DIV/0!</v>
      </c>
      <c r="G396" s="48" t="e">
        <f t="shared" si="259"/>
        <v>#VALUE!</v>
      </c>
      <c r="H396" s="48" t="e">
        <f t="shared" si="259"/>
        <v>#VALUE!</v>
      </c>
      <c r="I396" s="47" t="e">
        <f t="shared" si="260"/>
        <v>#VALUE!</v>
      </c>
      <c r="J396" s="47" t="e">
        <f t="shared" si="261"/>
        <v>#VALUE!</v>
      </c>
      <c r="K396" s="56" t="e">
        <f t="shared" si="262"/>
        <v>#VALUE!</v>
      </c>
      <c r="L396" s="58" t="e">
        <f t="shared" si="263"/>
        <v>#VALUE!</v>
      </c>
      <c r="M396" s="50" t="e">
        <f t="shared" si="264"/>
        <v>#VALUE!</v>
      </c>
      <c r="N396" s="51" t="e">
        <f t="shared" si="265"/>
        <v>#VALUE!</v>
      </c>
      <c r="O396" s="52" t="e">
        <f t="shared" si="265"/>
        <v>#VALUE!</v>
      </c>
      <c r="P396" s="28"/>
    </row>
    <row r="397" spans="1:16" x14ac:dyDescent="0.45">
      <c r="A397" s="112">
        <f t="shared" si="247"/>
        <v>0</v>
      </c>
      <c r="B397" s="114" t="str">
        <f>IF(mtx_base_7!B48 = "","",mtx_base_7!B48)</f>
        <v/>
      </c>
      <c r="C397" s="114" t="str">
        <f>IF(mtx_base_7!C48 = "","",mtx_base_7!C48)</f>
        <v/>
      </c>
      <c r="D397" s="45" t="e">
        <f t="shared" si="236"/>
        <v>#DIV/0!</v>
      </c>
      <c r="E397" s="77" t="e">
        <f t="shared" si="237"/>
        <v>#DIV/0!</v>
      </c>
      <c r="F397" s="56" t="e">
        <f t="shared" si="258"/>
        <v>#DIV/0!</v>
      </c>
      <c r="G397" s="48" t="e">
        <f t="shared" si="259"/>
        <v>#VALUE!</v>
      </c>
      <c r="H397" s="48" t="e">
        <f t="shared" si="259"/>
        <v>#VALUE!</v>
      </c>
      <c r="I397" s="47" t="e">
        <f t="shared" si="260"/>
        <v>#VALUE!</v>
      </c>
      <c r="J397" s="47" t="e">
        <f t="shared" si="261"/>
        <v>#VALUE!</v>
      </c>
      <c r="K397" s="56" t="e">
        <f t="shared" si="262"/>
        <v>#VALUE!</v>
      </c>
      <c r="L397" s="58" t="e">
        <f t="shared" si="263"/>
        <v>#VALUE!</v>
      </c>
      <c r="M397" s="50" t="e">
        <f t="shared" si="264"/>
        <v>#VALUE!</v>
      </c>
      <c r="N397" s="51" t="e">
        <f t="shared" si="265"/>
        <v>#VALUE!</v>
      </c>
      <c r="O397" s="52" t="e">
        <f t="shared" si="265"/>
        <v>#VALUE!</v>
      </c>
      <c r="P397" s="28"/>
    </row>
    <row r="398" spans="1:16" x14ac:dyDescent="0.45">
      <c r="A398" s="112">
        <f t="shared" si="247"/>
        <v>0</v>
      </c>
      <c r="B398" s="114" t="str">
        <f>IF(mtx_base_7!B49 = "","",mtx_base_7!B49)</f>
        <v/>
      </c>
      <c r="C398" s="114" t="str">
        <f>IF(mtx_base_7!C49 = "","",mtx_base_7!C49)</f>
        <v/>
      </c>
      <c r="D398" s="45" t="e">
        <f t="shared" si="236"/>
        <v>#DIV/0!</v>
      </c>
      <c r="E398" s="77" t="e">
        <f t="shared" si="237"/>
        <v>#DIV/0!</v>
      </c>
      <c r="F398" s="56" t="e">
        <f t="shared" si="258"/>
        <v>#DIV/0!</v>
      </c>
      <c r="G398" s="48" t="e">
        <f t="shared" si="259"/>
        <v>#VALUE!</v>
      </c>
      <c r="H398" s="48" t="e">
        <f t="shared" si="259"/>
        <v>#VALUE!</v>
      </c>
      <c r="I398" s="47" t="e">
        <f t="shared" si="260"/>
        <v>#VALUE!</v>
      </c>
      <c r="J398" s="47" t="e">
        <f t="shared" si="261"/>
        <v>#VALUE!</v>
      </c>
      <c r="K398" s="56" t="e">
        <f t="shared" si="262"/>
        <v>#VALUE!</v>
      </c>
      <c r="L398" s="58" t="e">
        <f t="shared" si="263"/>
        <v>#VALUE!</v>
      </c>
      <c r="M398" s="50" t="e">
        <f t="shared" si="264"/>
        <v>#VALUE!</v>
      </c>
      <c r="N398" s="51" t="e">
        <f t="shared" si="265"/>
        <v>#VALUE!</v>
      </c>
      <c r="O398" s="52" t="e">
        <f t="shared" si="265"/>
        <v>#VALUE!</v>
      </c>
      <c r="P398" s="28"/>
    </row>
    <row r="399" spans="1:16" x14ac:dyDescent="0.45">
      <c r="A399" s="112">
        <f t="shared" si="247"/>
        <v>0</v>
      </c>
      <c r="B399" s="114" t="str">
        <f>IF(mtx_base_7!B50 = "","",mtx_base_7!B50)</f>
        <v/>
      </c>
      <c r="C399" s="114" t="str">
        <f>IF(mtx_base_7!C50 = "","",mtx_base_7!C50)</f>
        <v/>
      </c>
      <c r="D399" s="45" t="e">
        <f t="shared" si="236"/>
        <v>#DIV/0!</v>
      </c>
      <c r="E399" s="77" t="e">
        <f t="shared" si="237"/>
        <v>#DIV/0!</v>
      </c>
      <c r="F399" s="56" t="e">
        <f t="shared" si="258"/>
        <v>#DIV/0!</v>
      </c>
      <c r="G399" s="48" t="e">
        <f t="shared" si="259"/>
        <v>#VALUE!</v>
      </c>
      <c r="H399" s="48" t="e">
        <f t="shared" si="259"/>
        <v>#VALUE!</v>
      </c>
      <c r="I399" s="47" t="e">
        <f t="shared" si="260"/>
        <v>#VALUE!</v>
      </c>
      <c r="J399" s="47" t="e">
        <f t="shared" si="261"/>
        <v>#VALUE!</v>
      </c>
      <c r="K399" s="56" t="e">
        <f t="shared" si="262"/>
        <v>#VALUE!</v>
      </c>
      <c r="L399" s="58" t="e">
        <f t="shared" si="263"/>
        <v>#VALUE!</v>
      </c>
      <c r="M399" s="50" t="e">
        <f t="shared" si="264"/>
        <v>#VALUE!</v>
      </c>
      <c r="N399" s="51" t="e">
        <f t="shared" si="265"/>
        <v>#VALUE!</v>
      </c>
      <c r="O399" s="52" t="e">
        <f t="shared" si="265"/>
        <v>#VALUE!</v>
      </c>
      <c r="P399" s="28"/>
    </row>
    <row r="400" spans="1:16" x14ac:dyDescent="0.45">
      <c r="A400" s="112">
        <f t="shared" si="247"/>
        <v>0</v>
      </c>
      <c r="B400" s="114" t="str">
        <f>IF(mtx_base_7!B51 = "","",mtx_base_7!B51)</f>
        <v/>
      </c>
      <c r="C400" s="114" t="str">
        <f>IF(mtx_base_7!C51 = "","",mtx_base_7!C51)</f>
        <v/>
      </c>
      <c r="D400" s="45" t="e">
        <f t="shared" si="236"/>
        <v>#DIV/0!</v>
      </c>
      <c r="E400" s="77" t="e">
        <f t="shared" si="237"/>
        <v>#DIV/0!</v>
      </c>
      <c r="F400" s="56" t="e">
        <f t="shared" si="258"/>
        <v>#DIV/0!</v>
      </c>
      <c r="G400" s="48" t="e">
        <f t="shared" si="259"/>
        <v>#VALUE!</v>
      </c>
      <c r="H400" s="48" t="e">
        <f t="shared" si="259"/>
        <v>#VALUE!</v>
      </c>
      <c r="I400" s="47" t="e">
        <f t="shared" si="260"/>
        <v>#VALUE!</v>
      </c>
      <c r="J400" s="47" t="e">
        <f t="shared" si="261"/>
        <v>#VALUE!</v>
      </c>
      <c r="K400" s="56" t="e">
        <f t="shared" si="262"/>
        <v>#VALUE!</v>
      </c>
      <c r="L400" s="58" t="e">
        <f t="shared" si="263"/>
        <v>#VALUE!</v>
      </c>
      <c r="M400" s="50" t="e">
        <f t="shared" si="264"/>
        <v>#VALUE!</v>
      </c>
      <c r="N400" s="51" t="e">
        <f t="shared" si="265"/>
        <v>#VALUE!</v>
      </c>
      <c r="O400" s="52" t="e">
        <f t="shared" si="265"/>
        <v>#VALUE!</v>
      </c>
      <c r="P400" s="28"/>
    </row>
    <row r="401" spans="1:16" x14ac:dyDescent="0.45">
      <c r="A401" s="112">
        <f t="shared" si="247"/>
        <v>0</v>
      </c>
      <c r="B401" s="114" t="str">
        <f>IF(mtx_base_7!B52 = "","",mtx_base_7!B52)</f>
        <v/>
      </c>
      <c r="C401" s="114" t="str">
        <f>IF(mtx_base_7!C52 = "","",mtx_base_7!C52)</f>
        <v/>
      </c>
      <c r="D401" s="45" t="e">
        <f t="shared" si="236"/>
        <v>#DIV/0!</v>
      </c>
      <c r="E401" s="77" t="e">
        <f t="shared" si="237"/>
        <v>#DIV/0!</v>
      </c>
      <c r="F401" s="56" t="e">
        <f t="shared" si="258"/>
        <v>#DIV/0!</v>
      </c>
      <c r="G401" s="48" t="e">
        <f t="shared" si="259"/>
        <v>#VALUE!</v>
      </c>
      <c r="H401" s="48" t="e">
        <f t="shared" si="259"/>
        <v>#VALUE!</v>
      </c>
      <c r="I401" s="47" t="e">
        <f t="shared" si="260"/>
        <v>#VALUE!</v>
      </c>
      <c r="J401" s="47" t="e">
        <f t="shared" si="261"/>
        <v>#VALUE!</v>
      </c>
      <c r="K401" s="56" t="e">
        <f t="shared" si="262"/>
        <v>#VALUE!</v>
      </c>
      <c r="L401" s="58" t="e">
        <f t="shared" si="263"/>
        <v>#VALUE!</v>
      </c>
      <c r="M401" s="50" t="e">
        <f t="shared" si="264"/>
        <v>#VALUE!</v>
      </c>
      <c r="N401" s="51" t="e">
        <f t="shared" si="265"/>
        <v>#VALUE!</v>
      </c>
      <c r="O401" s="52" t="e">
        <f t="shared" si="265"/>
        <v>#VALUE!</v>
      </c>
      <c r="P401" s="28"/>
    </row>
    <row r="402" spans="1:16" x14ac:dyDescent="0.45">
      <c r="A402" s="112">
        <f t="shared" si="247"/>
        <v>0</v>
      </c>
      <c r="B402" s="114" t="str">
        <f>IF(mtx_base_7!B53 = "","",mtx_base_7!B53)</f>
        <v/>
      </c>
      <c r="C402" s="114" t="str">
        <f>IF(mtx_base_7!C53 = "","",mtx_base_7!C53)</f>
        <v/>
      </c>
      <c r="D402" s="45" t="e">
        <f t="shared" si="236"/>
        <v>#DIV/0!</v>
      </c>
      <c r="E402" s="77" t="e">
        <f t="shared" si="237"/>
        <v>#DIV/0!</v>
      </c>
      <c r="F402" s="56" t="e">
        <f t="shared" si="258"/>
        <v>#DIV/0!</v>
      </c>
      <c r="G402" s="48" t="e">
        <f t="shared" si="259"/>
        <v>#VALUE!</v>
      </c>
      <c r="H402" s="48" t="e">
        <f t="shared" si="259"/>
        <v>#VALUE!</v>
      </c>
      <c r="I402" s="47" t="e">
        <f t="shared" si="260"/>
        <v>#VALUE!</v>
      </c>
      <c r="J402" s="47" t="e">
        <f t="shared" si="261"/>
        <v>#VALUE!</v>
      </c>
      <c r="K402" s="56" t="e">
        <f t="shared" si="262"/>
        <v>#VALUE!</v>
      </c>
      <c r="L402" s="58" t="e">
        <f t="shared" si="263"/>
        <v>#VALUE!</v>
      </c>
      <c r="M402" s="50" t="e">
        <f t="shared" si="264"/>
        <v>#VALUE!</v>
      </c>
      <c r="N402" s="51" t="e">
        <f t="shared" si="265"/>
        <v>#VALUE!</v>
      </c>
      <c r="O402" s="52" t="e">
        <f t="shared" si="265"/>
        <v>#VALUE!</v>
      </c>
      <c r="P402" s="28"/>
    </row>
    <row r="403" spans="1:16" x14ac:dyDescent="0.45">
      <c r="A403" s="112">
        <f t="shared" si="247"/>
        <v>0</v>
      </c>
      <c r="B403" s="114" t="str">
        <f>IF(mtx_base_7!B54 = "","",mtx_base_7!B54)</f>
        <v/>
      </c>
      <c r="C403" s="114" t="str">
        <f>IF(mtx_base_7!C54 = "","",mtx_base_7!C54)</f>
        <v/>
      </c>
      <c r="D403" s="45" t="e">
        <f t="shared" si="236"/>
        <v>#DIV/0!</v>
      </c>
      <c r="E403" s="77" t="e">
        <f t="shared" si="237"/>
        <v>#DIV/0!</v>
      </c>
      <c r="F403" s="56" t="e">
        <f t="shared" si="258"/>
        <v>#DIV/0!</v>
      </c>
      <c r="G403" s="48" t="e">
        <f t="shared" si="259"/>
        <v>#VALUE!</v>
      </c>
      <c r="H403" s="48" t="e">
        <f t="shared" si="259"/>
        <v>#VALUE!</v>
      </c>
      <c r="I403" s="47" t="e">
        <f t="shared" si="260"/>
        <v>#VALUE!</v>
      </c>
      <c r="J403" s="47" t="e">
        <f t="shared" si="261"/>
        <v>#VALUE!</v>
      </c>
      <c r="K403" s="56" t="e">
        <f t="shared" si="262"/>
        <v>#VALUE!</v>
      </c>
      <c r="L403" s="58" t="e">
        <f t="shared" si="263"/>
        <v>#VALUE!</v>
      </c>
      <c r="M403" s="50" t="e">
        <f t="shared" si="264"/>
        <v>#VALUE!</v>
      </c>
      <c r="N403" s="51" t="e">
        <f t="shared" si="265"/>
        <v>#VALUE!</v>
      </c>
      <c r="O403" s="52" t="e">
        <f t="shared" si="265"/>
        <v>#VALUE!</v>
      </c>
      <c r="P403" s="28"/>
    </row>
    <row r="404" spans="1:16" x14ac:dyDescent="0.45">
      <c r="A404" s="112">
        <f t="shared" si="247"/>
        <v>0</v>
      </c>
      <c r="B404" s="114" t="str">
        <f>IF(mtx_base_7!B55 = "","",mtx_base_7!B55)</f>
        <v/>
      </c>
      <c r="C404" s="114" t="str">
        <f>IF(mtx_base_7!C55 = "","",mtx_base_7!C55)</f>
        <v/>
      </c>
      <c r="D404" s="45" t="e">
        <f t="shared" si="236"/>
        <v>#DIV/0!</v>
      </c>
      <c r="E404" s="77" t="e">
        <f t="shared" si="237"/>
        <v>#DIV/0!</v>
      </c>
      <c r="F404" s="56" t="e">
        <f t="shared" si="258"/>
        <v>#DIV/0!</v>
      </c>
      <c r="G404" s="48" t="e">
        <f t="shared" si="259"/>
        <v>#VALUE!</v>
      </c>
      <c r="H404" s="48" t="e">
        <f t="shared" si="259"/>
        <v>#VALUE!</v>
      </c>
      <c r="I404" s="47" t="e">
        <f t="shared" si="260"/>
        <v>#VALUE!</v>
      </c>
      <c r="J404" s="47" t="e">
        <f t="shared" si="261"/>
        <v>#VALUE!</v>
      </c>
      <c r="K404" s="56" t="e">
        <f t="shared" si="262"/>
        <v>#VALUE!</v>
      </c>
      <c r="L404" s="58" t="e">
        <f t="shared" si="263"/>
        <v>#VALUE!</v>
      </c>
      <c r="M404" s="50" t="e">
        <f t="shared" si="264"/>
        <v>#VALUE!</v>
      </c>
      <c r="N404" s="51" t="e">
        <f t="shared" si="265"/>
        <v>#VALUE!</v>
      </c>
      <c r="O404" s="52" t="e">
        <f t="shared" si="265"/>
        <v>#VALUE!</v>
      </c>
      <c r="P404" s="28"/>
    </row>
    <row r="405" spans="1:16" x14ac:dyDescent="0.45">
      <c r="A405" s="112">
        <f t="shared" si="247"/>
        <v>0</v>
      </c>
      <c r="B405" s="114" t="str">
        <f>IF(mtx_base_7!B56 = "","",mtx_base_7!B56)</f>
        <v/>
      </c>
      <c r="C405" s="114" t="str">
        <f>IF(mtx_base_7!C56 = "","",mtx_base_7!C56)</f>
        <v/>
      </c>
      <c r="D405" s="45" t="e">
        <f t="shared" si="236"/>
        <v>#DIV/0!</v>
      </c>
      <c r="E405" s="77" t="e">
        <f t="shared" si="237"/>
        <v>#DIV/0!</v>
      </c>
      <c r="F405" s="56" t="e">
        <f t="shared" si="258"/>
        <v>#DIV/0!</v>
      </c>
      <c r="G405" s="48" t="e">
        <f t="shared" si="259"/>
        <v>#VALUE!</v>
      </c>
      <c r="H405" s="48" t="e">
        <f t="shared" si="259"/>
        <v>#VALUE!</v>
      </c>
      <c r="I405" s="47" t="e">
        <f t="shared" si="260"/>
        <v>#VALUE!</v>
      </c>
      <c r="J405" s="47" t="e">
        <f t="shared" si="261"/>
        <v>#VALUE!</v>
      </c>
      <c r="K405" s="56" t="e">
        <f t="shared" si="262"/>
        <v>#VALUE!</v>
      </c>
      <c r="L405" s="58" t="e">
        <f t="shared" si="263"/>
        <v>#VALUE!</v>
      </c>
      <c r="M405" s="50" t="e">
        <f t="shared" si="264"/>
        <v>#VALUE!</v>
      </c>
      <c r="N405" s="51" t="e">
        <f t="shared" si="265"/>
        <v>#VALUE!</v>
      </c>
      <c r="O405" s="52" t="e">
        <f t="shared" si="265"/>
        <v>#VALUE!</v>
      </c>
      <c r="P405" s="28"/>
    </row>
    <row r="406" spans="1:16" x14ac:dyDescent="0.45">
      <c r="A406" s="112">
        <f t="shared" si="247"/>
        <v>0</v>
      </c>
      <c r="B406" s="114" t="str">
        <f>IF(mtx_base_7!B57 = "","",mtx_base_7!B57)</f>
        <v/>
      </c>
      <c r="C406" s="114" t="str">
        <f>IF(mtx_base_7!C57 = "","",mtx_base_7!C57)</f>
        <v/>
      </c>
      <c r="D406" s="45" t="e">
        <f t="shared" si="236"/>
        <v>#DIV/0!</v>
      </c>
      <c r="E406" s="77" t="e">
        <f t="shared" si="237"/>
        <v>#DIV/0!</v>
      </c>
      <c r="F406" s="56" t="e">
        <f t="shared" si="258"/>
        <v>#DIV/0!</v>
      </c>
      <c r="G406" s="48" t="e">
        <f t="shared" si="259"/>
        <v>#VALUE!</v>
      </c>
      <c r="H406" s="48" t="e">
        <f t="shared" si="259"/>
        <v>#VALUE!</v>
      </c>
      <c r="I406" s="47" t="e">
        <f t="shared" si="260"/>
        <v>#VALUE!</v>
      </c>
      <c r="J406" s="47" t="e">
        <f t="shared" si="261"/>
        <v>#VALUE!</v>
      </c>
      <c r="K406" s="56" t="e">
        <f t="shared" si="262"/>
        <v>#VALUE!</v>
      </c>
      <c r="L406" s="58" t="e">
        <f t="shared" si="263"/>
        <v>#VALUE!</v>
      </c>
      <c r="M406" s="50" t="e">
        <f t="shared" si="264"/>
        <v>#VALUE!</v>
      </c>
      <c r="N406" s="51" t="e">
        <f t="shared" si="265"/>
        <v>#VALUE!</v>
      </c>
      <c r="O406" s="52" t="e">
        <f t="shared" si="265"/>
        <v>#VALUE!</v>
      </c>
      <c r="P406" s="28"/>
    </row>
    <row r="407" spans="1:16" x14ac:dyDescent="0.45">
      <c r="A407" s="112">
        <f t="shared" si="247"/>
        <v>0</v>
      </c>
      <c r="B407" s="114" t="str">
        <f>IF(mtx_base_7!B58 = "","",mtx_base_7!B58)</f>
        <v/>
      </c>
      <c r="C407" s="114" t="str">
        <f>IF(mtx_base_7!C58 = "","",mtx_base_7!C58)</f>
        <v/>
      </c>
      <c r="D407" s="45" t="e">
        <f t="shared" si="236"/>
        <v>#DIV/0!</v>
      </c>
      <c r="E407" s="77" t="e">
        <f t="shared" si="237"/>
        <v>#DIV/0!</v>
      </c>
      <c r="F407" s="56" t="e">
        <f t="shared" si="258"/>
        <v>#DIV/0!</v>
      </c>
      <c r="G407" s="48" t="e">
        <f t="shared" si="259"/>
        <v>#VALUE!</v>
      </c>
      <c r="H407" s="48" t="e">
        <f t="shared" si="259"/>
        <v>#VALUE!</v>
      </c>
      <c r="I407" s="47" t="e">
        <f t="shared" si="260"/>
        <v>#VALUE!</v>
      </c>
      <c r="J407" s="47" t="e">
        <f t="shared" si="261"/>
        <v>#VALUE!</v>
      </c>
      <c r="K407" s="56" t="e">
        <f t="shared" si="262"/>
        <v>#VALUE!</v>
      </c>
      <c r="L407" s="58" t="e">
        <f t="shared" si="263"/>
        <v>#VALUE!</v>
      </c>
      <c r="M407" s="50" t="e">
        <f t="shared" si="264"/>
        <v>#VALUE!</v>
      </c>
      <c r="N407" s="51" t="e">
        <f t="shared" si="265"/>
        <v>#VALUE!</v>
      </c>
      <c r="O407" s="52" t="e">
        <f t="shared" si="265"/>
        <v>#VALUE!</v>
      </c>
      <c r="P407" s="28"/>
    </row>
    <row r="408" spans="1:16" x14ac:dyDescent="0.45">
      <c r="A408" s="112">
        <f t="shared" si="247"/>
        <v>0</v>
      </c>
      <c r="B408" s="114" t="str">
        <f>IF(mtx_base_7!B59 = "","",mtx_base_7!B59)</f>
        <v/>
      </c>
      <c r="C408" s="114" t="str">
        <f>IF(mtx_base_7!C59 = "","",mtx_base_7!C59)</f>
        <v/>
      </c>
      <c r="D408" s="45" t="e">
        <f t="shared" si="236"/>
        <v>#DIV/0!</v>
      </c>
      <c r="E408" s="77" t="e">
        <f t="shared" si="237"/>
        <v>#DIV/0!</v>
      </c>
      <c r="F408" s="56" t="e">
        <f t="shared" si="258"/>
        <v>#DIV/0!</v>
      </c>
      <c r="G408" s="48" t="e">
        <f t="shared" si="259"/>
        <v>#VALUE!</v>
      </c>
      <c r="H408" s="48" t="e">
        <f t="shared" si="259"/>
        <v>#VALUE!</v>
      </c>
      <c r="I408" s="47" t="e">
        <f t="shared" si="260"/>
        <v>#VALUE!</v>
      </c>
      <c r="J408" s="47" t="e">
        <f t="shared" si="261"/>
        <v>#VALUE!</v>
      </c>
      <c r="K408" s="56" t="e">
        <f t="shared" si="262"/>
        <v>#VALUE!</v>
      </c>
      <c r="L408" s="58" t="e">
        <f t="shared" si="263"/>
        <v>#VALUE!</v>
      </c>
      <c r="M408" s="50" t="e">
        <f t="shared" si="264"/>
        <v>#VALUE!</v>
      </c>
      <c r="N408" s="51" t="e">
        <f t="shared" si="265"/>
        <v>#VALUE!</v>
      </c>
      <c r="O408" s="52" t="e">
        <f t="shared" si="265"/>
        <v>#VALUE!</v>
      </c>
      <c r="P408" s="28"/>
    </row>
    <row r="409" spans="1:16" x14ac:dyDescent="0.45">
      <c r="A409" s="112">
        <f t="shared" si="247"/>
        <v>0</v>
      </c>
      <c r="B409" s="114" t="str">
        <f>IF(mtx_base_7!B60 = "","",mtx_base_7!B60)</f>
        <v/>
      </c>
      <c r="C409" s="114" t="str">
        <f>IF(mtx_base_7!C60 = "","",mtx_base_7!C60)</f>
        <v/>
      </c>
      <c r="D409" s="45" t="e">
        <f t="shared" si="236"/>
        <v>#DIV/0!</v>
      </c>
      <c r="E409" s="77" t="e">
        <f t="shared" si="237"/>
        <v>#DIV/0!</v>
      </c>
      <c r="F409" s="56" t="e">
        <f t="shared" si="258"/>
        <v>#DIV/0!</v>
      </c>
      <c r="G409" s="48" t="e">
        <f t="shared" si="259"/>
        <v>#VALUE!</v>
      </c>
      <c r="H409" s="48" t="e">
        <f t="shared" si="259"/>
        <v>#VALUE!</v>
      </c>
      <c r="I409" s="47" t="e">
        <f t="shared" si="260"/>
        <v>#VALUE!</v>
      </c>
      <c r="J409" s="47" t="e">
        <f t="shared" si="261"/>
        <v>#VALUE!</v>
      </c>
      <c r="K409" s="56" t="e">
        <f t="shared" si="262"/>
        <v>#VALUE!</v>
      </c>
      <c r="L409" s="58" t="e">
        <f t="shared" si="263"/>
        <v>#VALUE!</v>
      </c>
      <c r="M409" s="50" t="e">
        <f t="shared" si="264"/>
        <v>#VALUE!</v>
      </c>
      <c r="N409" s="51" t="e">
        <f t="shared" si="265"/>
        <v>#VALUE!</v>
      </c>
      <c r="O409" s="52" t="e">
        <f t="shared" si="265"/>
        <v>#VALUE!</v>
      </c>
      <c r="P409" s="28"/>
    </row>
    <row r="410" spans="1:16" x14ac:dyDescent="0.45">
      <c r="A410" s="112">
        <f t="shared" si="247"/>
        <v>0</v>
      </c>
      <c r="B410" s="114" t="str">
        <f>IF(mtx_base_7!B61 = "","",mtx_base_7!B61)</f>
        <v/>
      </c>
      <c r="C410" s="114" t="str">
        <f>IF(mtx_base_7!C61 = "","",mtx_base_7!C61)</f>
        <v/>
      </c>
      <c r="D410" s="45" t="e">
        <f t="shared" si="236"/>
        <v>#DIV/0!</v>
      </c>
      <c r="E410" s="77" t="e">
        <f t="shared" si="237"/>
        <v>#DIV/0!</v>
      </c>
      <c r="F410" s="56" t="e">
        <f t="shared" si="258"/>
        <v>#DIV/0!</v>
      </c>
      <c r="G410" s="48" t="e">
        <f t="shared" si="259"/>
        <v>#VALUE!</v>
      </c>
      <c r="H410" s="48" t="e">
        <f t="shared" si="259"/>
        <v>#VALUE!</v>
      </c>
      <c r="I410" s="47" t="e">
        <f t="shared" si="260"/>
        <v>#VALUE!</v>
      </c>
      <c r="J410" s="47" t="e">
        <f t="shared" si="261"/>
        <v>#VALUE!</v>
      </c>
      <c r="K410" s="56" t="e">
        <f t="shared" si="262"/>
        <v>#VALUE!</v>
      </c>
      <c r="L410" s="58" t="e">
        <f t="shared" si="263"/>
        <v>#VALUE!</v>
      </c>
      <c r="M410" s="50" t="e">
        <f t="shared" si="264"/>
        <v>#VALUE!</v>
      </c>
      <c r="N410" s="51" t="e">
        <f t="shared" si="265"/>
        <v>#VALUE!</v>
      </c>
      <c r="O410" s="52" t="e">
        <f t="shared" si="265"/>
        <v>#VALUE!</v>
      </c>
      <c r="P410" s="28"/>
    </row>
    <row r="411" spans="1:16" x14ac:dyDescent="0.45">
      <c r="A411" s="112">
        <f t="shared" si="247"/>
        <v>0</v>
      </c>
      <c r="B411" s="114" t="str">
        <f>IF(mtx_base_7!B62 = "","",mtx_base_7!B62)</f>
        <v/>
      </c>
      <c r="C411" s="114" t="str">
        <f>IF(mtx_base_7!C62 = "","",mtx_base_7!C62)</f>
        <v/>
      </c>
      <c r="D411" s="45" t="e">
        <f t="shared" si="236"/>
        <v>#DIV/0!</v>
      </c>
      <c r="E411" s="77" t="e">
        <f t="shared" si="237"/>
        <v>#DIV/0!</v>
      </c>
      <c r="F411" s="56" t="e">
        <f t="shared" si="258"/>
        <v>#DIV/0!</v>
      </c>
      <c r="G411" s="48" t="e">
        <f t="shared" si="259"/>
        <v>#VALUE!</v>
      </c>
      <c r="H411" s="48" t="e">
        <f t="shared" si="259"/>
        <v>#VALUE!</v>
      </c>
      <c r="I411" s="47" t="e">
        <f t="shared" si="260"/>
        <v>#VALUE!</v>
      </c>
      <c r="J411" s="47" t="e">
        <f t="shared" si="261"/>
        <v>#VALUE!</v>
      </c>
      <c r="K411" s="56" t="e">
        <f t="shared" si="262"/>
        <v>#VALUE!</v>
      </c>
      <c r="L411" s="58" t="e">
        <f t="shared" si="263"/>
        <v>#VALUE!</v>
      </c>
      <c r="M411" s="50" t="e">
        <f t="shared" si="264"/>
        <v>#VALUE!</v>
      </c>
      <c r="N411" s="51" t="e">
        <f t="shared" si="265"/>
        <v>#VALUE!</v>
      </c>
      <c r="O411" s="52" t="e">
        <f t="shared" si="265"/>
        <v>#VALUE!</v>
      </c>
      <c r="P411" s="28"/>
    </row>
    <row r="412" spans="1:16" x14ac:dyDescent="0.45">
      <c r="A412" s="112">
        <f t="shared" si="247"/>
        <v>0</v>
      </c>
      <c r="B412" s="114" t="str">
        <f>IF(mtx_base_7!B63 = "","",mtx_base_7!B63)</f>
        <v/>
      </c>
      <c r="C412" s="114" t="str">
        <f>IF(mtx_base_7!C63 = "","",mtx_base_7!C63)</f>
        <v/>
      </c>
      <c r="D412" s="45" t="e">
        <f t="shared" si="236"/>
        <v>#DIV/0!</v>
      </c>
      <c r="E412" s="77" t="e">
        <f t="shared" si="237"/>
        <v>#DIV/0!</v>
      </c>
      <c r="F412" s="56" t="e">
        <f t="shared" si="258"/>
        <v>#DIV/0!</v>
      </c>
      <c r="G412" s="48" t="e">
        <f t="shared" si="259"/>
        <v>#VALUE!</v>
      </c>
      <c r="H412" s="48" t="e">
        <f t="shared" si="259"/>
        <v>#VALUE!</v>
      </c>
      <c r="I412" s="47" t="e">
        <f t="shared" si="260"/>
        <v>#VALUE!</v>
      </c>
      <c r="J412" s="47" t="e">
        <f t="shared" si="261"/>
        <v>#VALUE!</v>
      </c>
      <c r="K412" s="56" t="e">
        <f t="shared" si="262"/>
        <v>#VALUE!</v>
      </c>
      <c r="L412" s="58" t="e">
        <f t="shared" si="263"/>
        <v>#VALUE!</v>
      </c>
      <c r="M412" s="50" t="e">
        <f t="shared" si="264"/>
        <v>#VALUE!</v>
      </c>
      <c r="N412" s="51" t="e">
        <f t="shared" si="265"/>
        <v>#VALUE!</v>
      </c>
      <c r="O412" s="52" t="e">
        <f t="shared" si="265"/>
        <v>#VALUE!</v>
      </c>
      <c r="P412" s="28"/>
    </row>
    <row r="413" spans="1:16" x14ac:dyDescent="0.45">
      <c r="A413" s="112">
        <f t="shared" si="247"/>
        <v>0</v>
      </c>
      <c r="B413" s="114" t="str">
        <f>IF(mtx_base_7!B64 = "","",mtx_base_7!B64)</f>
        <v/>
      </c>
      <c r="C413" s="114" t="str">
        <f>IF(mtx_base_7!C64 = "","",mtx_base_7!C64)</f>
        <v/>
      </c>
      <c r="D413" s="45" t="e">
        <f t="shared" si="236"/>
        <v>#DIV/0!</v>
      </c>
      <c r="E413" s="77" t="e">
        <f t="shared" si="237"/>
        <v>#DIV/0!</v>
      </c>
      <c r="F413" s="56" t="e">
        <f t="shared" si="258"/>
        <v>#DIV/0!</v>
      </c>
      <c r="G413" s="48" t="e">
        <f t="shared" ref="G413:H417" si="266">B413-D413</f>
        <v>#VALUE!</v>
      </c>
      <c r="H413" s="48" t="e">
        <f t="shared" si="266"/>
        <v>#VALUE!</v>
      </c>
      <c r="I413" s="47" t="e">
        <f t="shared" si="260"/>
        <v>#VALUE!</v>
      </c>
      <c r="J413" s="47" t="e">
        <f t="shared" si="261"/>
        <v>#VALUE!</v>
      </c>
      <c r="K413" s="56" t="e">
        <f t="shared" si="262"/>
        <v>#VALUE!</v>
      </c>
      <c r="L413" s="58" t="e">
        <f t="shared" si="263"/>
        <v>#VALUE!</v>
      </c>
      <c r="M413" s="50" t="e">
        <f t="shared" si="264"/>
        <v>#VALUE!</v>
      </c>
      <c r="N413" s="51" t="e">
        <f t="shared" ref="N413:O417" si="267">M413</f>
        <v>#VALUE!</v>
      </c>
      <c r="O413" s="52" t="e">
        <f t="shared" si="267"/>
        <v>#VALUE!</v>
      </c>
      <c r="P413" s="28"/>
    </row>
    <row r="414" spans="1:16" x14ac:dyDescent="0.45">
      <c r="A414" s="112">
        <f t="shared" si="247"/>
        <v>0</v>
      </c>
      <c r="B414" s="114" t="str">
        <f>IF(mtx_base_7!B65 = "","",mtx_base_7!B65)</f>
        <v/>
      </c>
      <c r="C414" s="114" t="str">
        <f>IF(mtx_base_7!C65 = "","",mtx_base_7!C65)</f>
        <v/>
      </c>
      <c r="D414" s="45" t="e">
        <f t="shared" si="236"/>
        <v>#DIV/0!</v>
      </c>
      <c r="E414" s="77" t="e">
        <f t="shared" si="237"/>
        <v>#DIV/0!</v>
      </c>
      <c r="F414" s="56" t="e">
        <f t="shared" si="258"/>
        <v>#DIV/0!</v>
      </c>
      <c r="G414" s="48" t="e">
        <f t="shared" si="266"/>
        <v>#VALUE!</v>
      </c>
      <c r="H414" s="48" t="e">
        <f t="shared" si="266"/>
        <v>#VALUE!</v>
      </c>
      <c r="I414" s="47" t="e">
        <f t="shared" si="260"/>
        <v>#VALUE!</v>
      </c>
      <c r="J414" s="47" t="e">
        <f t="shared" si="261"/>
        <v>#VALUE!</v>
      </c>
      <c r="K414" s="56" t="e">
        <f t="shared" si="262"/>
        <v>#VALUE!</v>
      </c>
      <c r="L414" s="58" t="e">
        <f t="shared" si="263"/>
        <v>#VALUE!</v>
      </c>
      <c r="M414" s="50" t="e">
        <f t="shared" si="264"/>
        <v>#VALUE!</v>
      </c>
      <c r="N414" s="51" t="e">
        <f t="shared" si="267"/>
        <v>#VALUE!</v>
      </c>
      <c r="O414" s="52" t="e">
        <f t="shared" si="267"/>
        <v>#VALUE!</v>
      </c>
      <c r="P414" s="28"/>
    </row>
    <row r="415" spans="1:16" x14ac:dyDescent="0.45">
      <c r="A415" s="112">
        <f t="shared" si="247"/>
        <v>0</v>
      </c>
      <c r="B415" s="114" t="str">
        <f>IF(mtx_base_7!B66 = "","",mtx_base_7!B66)</f>
        <v/>
      </c>
      <c r="C415" s="114" t="str">
        <f>IF(mtx_base_7!C66 = "","",mtx_base_7!C66)</f>
        <v/>
      </c>
      <c r="D415" s="45" t="e">
        <f t="shared" si="236"/>
        <v>#DIV/0!</v>
      </c>
      <c r="E415" s="77" t="e">
        <f t="shared" si="237"/>
        <v>#DIV/0!</v>
      </c>
      <c r="F415" s="56" t="e">
        <f t="shared" si="258"/>
        <v>#DIV/0!</v>
      </c>
      <c r="G415" s="48" t="e">
        <f t="shared" si="266"/>
        <v>#VALUE!</v>
      </c>
      <c r="H415" s="48" t="e">
        <f t="shared" si="266"/>
        <v>#VALUE!</v>
      </c>
      <c r="I415" s="47" t="e">
        <f t="shared" si="260"/>
        <v>#VALUE!</v>
      </c>
      <c r="J415" s="47" t="e">
        <f t="shared" si="261"/>
        <v>#VALUE!</v>
      </c>
      <c r="K415" s="56" t="e">
        <f t="shared" si="262"/>
        <v>#VALUE!</v>
      </c>
      <c r="L415" s="58" t="e">
        <f t="shared" si="263"/>
        <v>#VALUE!</v>
      </c>
      <c r="M415" s="50" t="e">
        <f t="shared" si="264"/>
        <v>#VALUE!</v>
      </c>
      <c r="N415" s="51" t="e">
        <f t="shared" si="267"/>
        <v>#VALUE!</v>
      </c>
      <c r="O415" s="52" t="e">
        <f t="shared" si="267"/>
        <v>#VALUE!</v>
      </c>
      <c r="P415" s="28"/>
    </row>
    <row r="416" spans="1:16" x14ac:dyDescent="0.45">
      <c r="A416" s="112">
        <f t="shared" si="247"/>
        <v>0</v>
      </c>
      <c r="B416" s="114" t="str">
        <f>IF(mtx_base_7!B67 = "","",mtx_base_7!B67)</f>
        <v/>
      </c>
      <c r="C416" s="114" t="str">
        <f>IF(mtx_base_7!C67 = "","",mtx_base_7!C67)</f>
        <v/>
      </c>
      <c r="D416" s="45" t="e">
        <f t="shared" si="236"/>
        <v>#DIV/0!</v>
      </c>
      <c r="E416" s="77" t="e">
        <f t="shared" si="237"/>
        <v>#DIV/0!</v>
      </c>
      <c r="F416" s="56" t="e">
        <f t="shared" si="258"/>
        <v>#DIV/0!</v>
      </c>
      <c r="G416" s="48" t="e">
        <f t="shared" si="266"/>
        <v>#VALUE!</v>
      </c>
      <c r="H416" s="48" t="e">
        <f t="shared" si="266"/>
        <v>#VALUE!</v>
      </c>
      <c r="I416" s="47" t="e">
        <f t="shared" si="260"/>
        <v>#VALUE!</v>
      </c>
      <c r="J416" s="47" t="e">
        <f t="shared" si="261"/>
        <v>#VALUE!</v>
      </c>
      <c r="K416" s="56" t="e">
        <f t="shared" si="262"/>
        <v>#VALUE!</v>
      </c>
      <c r="L416" s="58" t="e">
        <f t="shared" si="263"/>
        <v>#VALUE!</v>
      </c>
      <c r="M416" s="50" t="e">
        <f t="shared" si="264"/>
        <v>#VALUE!</v>
      </c>
      <c r="N416" s="51" t="e">
        <f t="shared" si="267"/>
        <v>#VALUE!</v>
      </c>
      <c r="O416" s="52" t="e">
        <f t="shared" si="267"/>
        <v>#VALUE!</v>
      </c>
      <c r="P416" s="28"/>
    </row>
    <row r="417" spans="1:16" x14ac:dyDescent="0.45">
      <c r="A417" s="112">
        <f t="shared" si="247"/>
        <v>0</v>
      </c>
      <c r="B417" s="114" t="str">
        <f>IF(mtx_base_7!B68 = "","",mtx_base_7!B68)</f>
        <v/>
      </c>
      <c r="C417" s="114" t="str">
        <f>IF(mtx_base_7!C68 = "","",mtx_base_7!C68)</f>
        <v/>
      </c>
      <c r="D417" s="45" t="e">
        <f t="shared" si="236"/>
        <v>#DIV/0!</v>
      </c>
      <c r="E417" s="77" t="e">
        <f t="shared" si="237"/>
        <v>#DIV/0!</v>
      </c>
      <c r="F417" s="56" t="e">
        <f t="shared" si="258"/>
        <v>#DIV/0!</v>
      </c>
      <c r="G417" s="48" t="e">
        <f t="shared" si="266"/>
        <v>#VALUE!</v>
      </c>
      <c r="H417" s="48" t="e">
        <f t="shared" si="266"/>
        <v>#VALUE!</v>
      </c>
      <c r="I417" s="47" t="e">
        <f t="shared" si="260"/>
        <v>#VALUE!</v>
      </c>
      <c r="J417" s="47" t="e">
        <f t="shared" si="261"/>
        <v>#VALUE!</v>
      </c>
      <c r="K417" s="56" t="e">
        <f t="shared" si="262"/>
        <v>#VALUE!</v>
      </c>
      <c r="L417" s="58" t="e">
        <f t="shared" si="263"/>
        <v>#VALUE!</v>
      </c>
      <c r="M417" s="50" t="e">
        <f t="shared" si="264"/>
        <v>#VALUE!</v>
      </c>
      <c r="N417" s="51" t="e">
        <f t="shared" si="267"/>
        <v>#VALUE!</v>
      </c>
      <c r="O417" s="52" t="e">
        <f t="shared" si="267"/>
        <v>#VALUE!</v>
      </c>
      <c r="P417" s="28"/>
    </row>
    <row r="418" spans="1:16" x14ac:dyDescent="0.45">
      <c r="B418" s="29"/>
      <c r="C418" s="29"/>
    </row>
    <row r="419" spans="1:16" x14ac:dyDescent="0.45">
      <c r="B419" s="29"/>
      <c r="C419" s="29"/>
    </row>
    <row r="420" spans="1:16" x14ac:dyDescent="0.45">
      <c r="B420" s="29"/>
      <c r="C420" s="29"/>
    </row>
    <row r="421" spans="1:16" x14ac:dyDescent="0.45">
      <c r="B421" s="29"/>
      <c r="C421" s="29"/>
    </row>
    <row r="422" spans="1:16" x14ac:dyDescent="0.45">
      <c r="B422" s="29"/>
      <c r="C422" s="29"/>
    </row>
    <row r="423" spans="1:16" x14ac:dyDescent="0.45">
      <c r="B423" s="29"/>
      <c r="C423" s="29"/>
    </row>
    <row r="424" spans="1:16" x14ac:dyDescent="0.45">
      <c r="B424" s="29"/>
      <c r="C424" s="29"/>
    </row>
    <row r="425" spans="1:16" x14ac:dyDescent="0.45">
      <c r="B425" s="29"/>
      <c r="C425" s="29"/>
    </row>
    <row r="426" spans="1:16" x14ac:dyDescent="0.45">
      <c r="B426" s="29"/>
      <c r="C426" s="29"/>
    </row>
    <row r="427" spans="1:16" x14ac:dyDescent="0.45">
      <c r="B427" s="29"/>
      <c r="C427" s="29"/>
    </row>
    <row r="428" spans="1:16" x14ac:dyDescent="0.45">
      <c r="B428" s="29"/>
      <c r="C428" s="29"/>
    </row>
    <row r="429" spans="1:16" x14ac:dyDescent="0.45">
      <c r="B429" s="29"/>
      <c r="C429" s="29"/>
    </row>
    <row r="430" spans="1:16" x14ac:dyDescent="0.45">
      <c r="B430" s="29"/>
      <c r="C430" s="29"/>
    </row>
    <row r="431" spans="1:16" x14ac:dyDescent="0.45">
      <c r="B431" s="29"/>
      <c r="C431" s="29"/>
    </row>
    <row r="432" spans="1:16" x14ac:dyDescent="0.45">
      <c r="B432" s="29"/>
      <c r="C432" s="29"/>
    </row>
    <row r="433" s="29" customFormat="1" x14ac:dyDescent="0.45"/>
    <row r="434" s="29" customFormat="1" x14ac:dyDescent="0.45"/>
    <row r="435" s="29" customFormat="1" x14ac:dyDescent="0.45"/>
  </sheetData>
  <mergeCells count="63">
    <mergeCell ref="D366:L366"/>
    <mergeCell ref="M366:N367"/>
    <mergeCell ref="O366:O367"/>
    <mergeCell ref="D367:E367"/>
    <mergeCell ref="G367:J367"/>
    <mergeCell ref="K367:L367"/>
    <mergeCell ref="O307:O308"/>
    <mergeCell ref="D308:E308"/>
    <mergeCell ref="G308:J308"/>
    <mergeCell ref="K308:L308"/>
    <mergeCell ref="B360:C360"/>
    <mergeCell ref="D307:L307"/>
    <mergeCell ref="M307:N308"/>
    <mergeCell ref="B361:C361"/>
    <mergeCell ref="B362:C362"/>
    <mergeCell ref="B242:C242"/>
    <mergeCell ref="B243:C243"/>
    <mergeCell ref="B244:C244"/>
    <mergeCell ref="B301:C301"/>
    <mergeCell ref="B302:C302"/>
    <mergeCell ref="B303:C303"/>
    <mergeCell ref="B183:C183"/>
    <mergeCell ref="B184:C184"/>
    <mergeCell ref="B185:C185"/>
    <mergeCell ref="D189:L189"/>
    <mergeCell ref="M189:N190"/>
    <mergeCell ref="D190:E190"/>
    <mergeCell ref="G190:J190"/>
    <mergeCell ref="K190:L190"/>
    <mergeCell ref="D129:L129"/>
    <mergeCell ref="M129:N130"/>
    <mergeCell ref="O248:O249"/>
    <mergeCell ref="D249:E249"/>
    <mergeCell ref="G249:J249"/>
    <mergeCell ref="K249:L249"/>
    <mergeCell ref="O189:O190"/>
    <mergeCell ref="O129:O130"/>
    <mergeCell ref="D130:E130"/>
    <mergeCell ref="G130:J130"/>
    <mergeCell ref="K130:L130"/>
    <mergeCell ref="D248:L248"/>
    <mergeCell ref="M248:N249"/>
    <mergeCell ref="B124:C124"/>
    <mergeCell ref="B125:C125"/>
    <mergeCell ref="O7:O8"/>
    <mergeCell ref="D8:E8"/>
    <mergeCell ref="G8:J8"/>
    <mergeCell ref="K8:L8"/>
    <mergeCell ref="O68:O69"/>
    <mergeCell ref="D69:E69"/>
    <mergeCell ref="G69:J69"/>
    <mergeCell ref="K69:L69"/>
    <mergeCell ref="B123:C123"/>
    <mergeCell ref="B62:C62"/>
    <mergeCell ref="B63:C63"/>
    <mergeCell ref="B64:C64"/>
    <mergeCell ref="D68:L68"/>
    <mergeCell ref="M68:N69"/>
    <mergeCell ref="B1:C1"/>
    <mergeCell ref="B2:C2"/>
    <mergeCell ref="B3:C3"/>
    <mergeCell ref="D7:L7"/>
    <mergeCell ref="M7:N8"/>
  </mergeCells>
  <conditionalFormatting sqref="O9:O58 M9:M58 O70:O119 M70:M119 O131:O180 M131:M180 M191:M240 O191:O240 M309:M358">
    <cfRule type="cellIs" dxfId="71" priority="84" operator="equal">
      <formula>"Yellow"</formula>
    </cfRule>
    <cfRule type="cellIs" dxfId="70" priority="85" operator="equal">
      <formula>"Blue"</formula>
    </cfRule>
    <cfRule type="cellIs" dxfId="69" priority="86" operator="equal">
      <formula>"Red"</formula>
    </cfRule>
    <cfRule type="cellIs" dxfId="68" priority="87" operator="equal">
      <formula>"Green"</formula>
    </cfRule>
  </conditionalFormatting>
  <conditionalFormatting sqref="O436:O1048576 O1:O7 O59:O61">
    <cfRule type="colorScale" priority="83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120:O122 O62:O68">
    <cfRule type="colorScale" priority="81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181:O182 O123:O129">
    <cfRule type="colorScale" priority="88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183:O189">
    <cfRule type="colorScale" priority="89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242:O248">
    <cfRule type="colorScale" priority="80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241">
    <cfRule type="colorScale" priority="74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301:O307">
    <cfRule type="colorScale" priority="73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300">
    <cfRule type="colorScale" priority="67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360:O366">
    <cfRule type="colorScale" priority="66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O359">
    <cfRule type="colorScale" priority="60">
      <colorScale>
        <cfvo type="formula" val="&quot;&quot;&quot;Pink&quot;&quot;&quot;"/>
        <cfvo type="max"/>
        <color theme="7" tint="0.39997558519241921"/>
        <color rgb="FFFFEF9C"/>
      </colorScale>
    </cfRule>
  </conditionalFormatting>
  <conditionalFormatting sqref="M250:M299">
    <cfRule type="cellIs" dxfId="67" priority="36" operator="equal">
      <formula>"Yellow"</formula>
    </cfRule>
    <cfRule type="cellIs" dxfId="66" priority="37" operator="equal">
      <formula>"Blue"</formula>
    </cfRule>
    <cfRule type="cellIs" dxfId="65" priority="38" operator="equal">
      <formula>"Red"</formula>
    </cfRule>
    <cfRule type="cellIs" dxfId="64" priority="39" operator="equal">
      <formula>"Green"</formula>
    </cfRule>
  </conditionalFormatting>
  <conditionalFormatting sqref="M368:M417">
    <cfRule type="cellIs" dxfId="63" priority="20" operator="equal">
      <formula>"Yellow"</formula>
    </cfRule>
    <cfRule type="cellIs" dxfId="62" priority="21" operator="equal">
      <formula>"Blue"</formula>
    </cfRule>
    <cfRule type="cellIs" dxfId="61" priority="22" operator="equal">
      <formula>"Red"</formula>
    </cfRule>
    <cfRule type="cellIs" dxfId="60" priority="23" operator="equal">
      <formula>"Green"</formula>
    </cfRule>
  </conditionalFormatting>
  <conditionalFormatting sqref="O250:O299">
    <cfRule type="cellIs" dxfId="59" priority="12" operator="equal">
      <formula>"Yellow"</formula>
    </cfRule>
    <cfRule type="cellIs" dxfId="58" priority="13" operator="equal">
      <formula>"Blue"</formula>
    </cfRule>
    <cfRule type="cellIs" dxfId="57" priority="14" operator="equal">
      <formula>"Red"</formula>
    </cfRule>
    <cfRule type="cellIs" dxfId="56" priority="15" operator="equal">
      <formula>"Green"</formula>
    </cfRule>
  </conditionalFormatting>
  <conditionalFormatting sqref="O309:O358">
    <cfRule type="cellIs" dxfId="55" priority="7" operator="equal">
      <formula>"Yellow"</formula>
    </cfRule>
    <cfRule type="cellIs" dxfId="54" priority="8" operator="equal">
      <formula>"Blue"</formula>
    </cfRule>
    <cfRule type="cellIs" dxfId="53" priority="9" operator="equal">
      <formula>"Red"</formula>
    </cfRule>
    <cfRule type="cellIs" dxfId="52" priority="10" operator="equal">
      <formula>"Green"</formula>
    </cfRule>
  </conditionalFormatting>
  <conditionalFormatting sqref="O368:O417">
    <cfRule type="cellIs" dxfId="51" priority="2" operator="equal">
      <formula>"Yellow"</formula>
    </cfRule>
    <cfRule type="cellIs" dxfId="50" priority="3" operator="equal">
      <formula>"Blue"</formula>
    </cfRule>
    <cfRule type="cellIs" dxfId="49" priority="4" operator="equal">
      <formula>"Red"</formula>
    </cfRule>
    <cfRule type="cellIs" dxfId="48" priority="5" operator="equal">
      <formula>"Green"</formula>
    </cfRule>
  </conditionalFormatting>
  <pageMargins left="0.75" right="0.75" top="1" bottom="1" header="0.5" footer="0.5"/>
  <pageSetup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2" operator="containsText" id="{8607830A-2BF1-4473-9EA0-F5766924B9CF}">
            <xm:f>NOT(ISERROR(SEARCH("Pink",O9)))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O9:O58 O70:O119 O131:O180 O191:O240</xm:sqref>
        </x14:conditionalFormatting>
        <x14:conditionalFormatting xmlns:xm="http://schemas.microsoft.com/office/excel/2006/main">
          <x14:cfRule type="containsText" priority="11" operator="containsText" id="{6E2941F8-1956-4EF7-932D-FB2409F93A5D}">
            <xm:f>NOT(ISERROR(SEARCH("Pink",O250)))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O250:O299</xm:sqref>
        </x14:conditionalFormatting>
        <x14:conditionalFormatting xmlns:xm="http://schemas.microsoft.com/office/excel/2006/main">
          <x14:cfRule type="containsText" priority="6" operator="containsText" id="{E0182372-6623-415A-B308-3B5DB5948EBD}">
            <xm:f>NOT(ISERROR(SEARCH("Pink",O309)))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O309:O358</xm:sqref>
        </x14:conditionalFormatting>
        <x14:conditionalFormatting xmlns:xm="http://schemas.microsoft.com/office/excel/2006/main">
          <x14:cfRule type="containsText" priority="1" operator="containsText" id="{8649C745-84C6-4C8D-A2C5-678C381FDBA2}">
            <xm:f>NOT(ISERROR(SEARCH("Pink",O368)))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O368:O417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C3195-1ECB-4C8F-9601-834F19A470F3}">
  <sheetPr codeName="Sheet2"/>
  <dimension ref="A1:I51"/>
  <sheetViews>
    <sheetView showGridLines="0" zoomScale="70" zoomScaleNormal="70" zoomScalePageLayoutView="130" workbookViewId="0">
      <selection activeCell="E1" sqref="E1"/>
    </sheetView>
  </sheetViews>
  <sheetFormatPr defaultColWidth="8.75" defaultRowHeight="16" x14ac:dyDescent="0.45"/>
  <cols>
    <col min="1" max="1" width="9.75" style="29" customWidth="1"/>
    <col min="2" max="2" width="72.83203125" style="84" customWidth="1"/>
    <col min="3" max="9" width="11.75" style="85" customWidth="1"/>
    <col min="10" max="16384" width="8.75" style="29"/>
  </cols>
  <sheetData>
    <row r="1" spans="1:9" s="82" customFormat="1" ht="26.5" customHeight="1" thickBot="1" x14ac:dyDescent="0.5">
      <c r="A1" s="29"/>
      <c r="B1" s="81"/>
      <c r="C1" s="86" t="str">
        <f>'Dashboard Drivers'!A1</f>
        <v>Matrix 1</v>
      </c>
      <c r="D1" s="86" t="str">
        <f>'Dashboard Drivers'!A62</f>
        <v>Matrix 2</v>
      </c>
      <c r="E1" s="86" t="str">
        <f>'Dashboard Drivers'!A123</f>
        <v>Matrix 3</v>
      </c>
      <c r="F1" s="86" t="str">
        <f>'Dashboard Drivers'!A183</f>
        <v>Matrix 4</v>
      </c>
      <c r="G1" s="86" t="str">
        <f>'Dashboard Drivers'!A242</f>
        <v>Matrix 5</v>
      </c>
      <c r="H1" s="86" t="str">
        <f>'Dashboard Drivers'!A301</f>
        <v>Matrix 6</v>
      </c>
      <c r="I1" s="86" t="str">
        <f>'Dashboard Drivers'!A360</f>
        <v>Matrix 7</v>
      </c>
    </row>
    <row r="2" spans="1:9" ht="13.5" customHeight="1" thickBot="1" x14ac:dyDescent="0.5">
      <c r="B2" s="87">
        <f>'Dashboard Drivers'!A9</f>
        <v>0</v>
      </c>
      <c r="C2" s="83" t="e">
        <f>'Dashboard Drivers'!O9</f>
        <v>#VALUE!</v>
      </c>
      <c r="D2" s="83" t="e">
        <f>'Dashboard Drivers'!O70</f>
        <v>#VALUE!</v>
      </c>
      <c r="E2" s="83" t="e">
        <f>'Dashboard Drivers'!O131</f>
        <v>#VALUE!</v>
      </c>
      <c r="F2" s="83" t="e">
        <f>'Dashboard Drivers'!O191</f>
        <v>#VALUE!</v>
      </c>
      <c r="G2" s="83" t="e">
        <f>'Dashboard Drivers'!O250</f>
        <v>#VALUE!</v>
      </c>
      <c r="H2" s="83" t="e">
        <f>'Dashboard Drivers'!O309</f>
        <v>#VALUE!</v>
      </c>
      <c r="I2" s="83" t="e">
        <f>'Dashboard Drivers'!O368</f>
        <v>#VALUE!</v>
      </c>
    </row>
    <row r="3" spans="1:9" ht="13.5" customHeight="1" thickBot="1" x14ac:dyDescent="0.5">
      <c r="B3" s="87">
        <f>'Dashboard Drivers'!A10</f>
        <v>0</v>
      </c>
      <c r="C3" s="83" t="e">
        <f>'Dashboard Drivers'!O10</f>
        <v>#VALUE!</v>
      </c>
      <c r="D3" s="83" t="e">
        <f>'Dashboard Drivers'!O71</f>
        <v>#VALUE!</v>
      </c>
      <c r="E3" s="83" t="e">
        <f>'Dashboard Drivers'!O132</f>
        <v>#VALUE!</v>
      </c>
      <c r="F3" s="83" t="e">
        <f>'Dashboard Drivers'!O192</f>
        <v>#VALUE!</v>
      </c>
      <c r="G3" s="83" t="e">
        <f>'Dashboard Drivers'!O251</f>
        <v>#VALUE!</v>
      </c>
      <c r="H3" s="83" t="e">
        <f>'Dashboard Drivers'!O310</f>
        <v>#VALUE!</v>
      </c>
      <c r="I3" s="83" t="e">
        <f>'Dashboard Drivers'!O369</f>
        <v>#VALUE!</v>
      </c>
    </row>
    <row r="4" spans="1:9" ht="13.5" customHeight="1" thickBot="1" x14ac:dyDescent="0.5">
      <c r="B4" s="87">
        <f>'Dashboard Drivers'!A11</f>
        <v>0</v>
      </c>
      <c r="C4" s="83" t="e">
        <f>'Dashboard Drivers'!O11</f>
        <v>#VALUE!</v>
      </c>
      <c r="D4" s="83" t="e">
        <f>'Dashboard Drivers'!O72</f>
        <v>#VALUE!</v>
      </c>
      <c r="E4" s="83" t="e">
        <f>'Dashboard Drivers'!O133</f>
        <v>#VALUE!</v>
      </c>
      <c r="F4" s="83" t="e">
        <f>'Dashboard Drivers'!O193</f>
        <v>#VALUE!</v>
      </c>
      <c r="G4" s="83" t="e">
        <f>'Dashboard Drivers'!O252</f>
        <v>#VALUE!</v>
      </c>
      <c r="H4" s="83" t="e">
        <f>'Dashboard Drivers'!O311</f>
        <v>#VALUE!</v>
      </c>
      <c r="I4" s="83" t="e">
        <f>'Dashboard Drivers'!O370</f>
        <v>#VALUE!</v>
      </c>
    </row>
    <row r="5" spans="1:9" ht="13.5" customHeight="1" thickBot="1" x14ac:dyDescent="0.5">
      <c r="B5" s="87">
        <f>'Dashboard Drivers'!A12</f>
        <v>0</v>
      </c>
      <c r="C5" s="83" t="e">
        <f>'Dashboard Drivers'!O12</f>
        <v>#VALUE!</v>
      </c>
      <c r="D5" s="83" t="e">
        <f>'Dashboard Drivers'!O73</f>
        <v>#VALUE!</v>
      </c>
      <c r="E5" s="83" t="e">
        <f>'Dashboard Drivers'!O134</f>
        <v>#VALUE!</v>
      </c>
      <c r="F5" s="83" t="e">
        <f>'Dashboard Drivers'!O194</f>
        <v>#VALUE!</v>
      </c>
      <c r="G5" s="83" t="e">
        <f>'Dashboard Drivers'!O253</f>
        <v>#VALUE!</v>
      </c>
      <c r="H5" s="83" t="e">
        <f>'Dashboard Drivers'!O312</f>
        <v>#VALUE!</v>
      </c>
      <c r="I5" s="83" t="e">
        <f>'Dashboard Drivers'!O371</f>
        <v>#VALUE!</v>
      </c>
    </row>
    <row r="6" spans="1:9" ht="13.5" customHeight="1" thickBot="1" x14ac:dyDescent="0.5">
      <c r="B6" s="87">
        <f>'Dashboard Drivers'!A13</f>
        <v>0</v>
      </c>
      <c r="C6" s="83" t="e">
        <f>'Dashboard Drivers'!O13</f>
        <v>#VALUE!</v>
      </c>
      <c r="D6" s="83" t="e">
        <f>'Dashboard Drivers'!O74</f>
        <v>#VALUE!</v>
      </c>
      <c r="E6" s="83" t="e">
        <f>'Dashboard Drivers'!O135</f>
        <v>#VALUE!</v>
      </c>
      <c r="F6" s="83" t="e">
        <f>'Dashboard Drivers'!O195</f>
        <v>#VALUE!</v>
      </c>
      <c r="G6" s="83" t="e">
        <f>'Dashboard Drivers'!O254</f>
        <v>#VALUE!</v>
      </c>
      <c r="H6" s="83" t="e">
        <f>'Dashboard Drivers'!O313</f>
        <v>#VALUE!</v>
      </c>
      <c r="I6" s="83" t="e">
        <f>'Dashboard Drivers'!O372</f>
        <v>#VALUE!</v>
      </c>
    </row>
    <row r="7" spans="1:9" ht="13.5" customHeight="1" thickBot="1" x14ac:dyDescent="0.5">
      <c r="B7" s="87">
        <f>'Dashboard Drivers'!A14</f>
        <v>0</v>
      </c>
      <c r="C7" s="83" t="e">
        <f>'Dashboard Drivers'!O14</f>
        <v>#VALUE!</v>
      </c>
      <c r="D7" s="83" t="e">
        <f>'Dashboard Drivers'!O75</f>
        <v>#VALUE!</v>
      </c>
      <c r="E7" s="83" t="e">
        <f>'Dashboard Drivers'!O136</f>
        <v>#VALUE!</v>
      </c>
      <c r="F7" s="83" t="e">
        <f>'Dashboard Drivers'!O196</f>
        <v>#VALUE!</v>
      </c>
      <c r="G7" s="83" t="e">
        <f>'Dashboard Drivers'!O255</f>
        <v>#VALUE!</v>
      </c>
      <c r="H7" s="83" t="e">
        <f>'Dashboard Drivers'!O314</f>
        <v>#VALUE!</v>
      </c>
      <c r="I7" s="83" t="e">
        <f>'Dashboard Drivers'!O373</f>
        <v>#VALUE!</v>
      </c>
    </row>
    <row r="8" spans="1:9" ht="13.5" customHeight="1" thickBot="1" x14ac:dyDescent="0.5">
      <c r="B8" s="87">
        <f>'Dashboard Drivers'!A15</f>
        <v>0</v>
      </c>
      <c r="C8" s="83" t="e">
        <f>'Dashboard Drivers'!O15</f>
        <v>#VALUE!</v>
      </c>
      <c r="D8" s="83" t="e">
        <f>'Dashboard Drivers'!O76</f>
        <v>#VALUE!</v>
      </c>
      <c r="E8" s="83" t="e">
        <f>'Dashboard Drivers'!O137</f>
        <v>#VALUE!</v>
      </c>
      <c r="F8" s="83" t="e">
        <f>'Dashboard Drivers'!O197</f>
        <v>#VALUE!</v>
      </c>
      <c r="G8" s="83" t="e">
        <f>'Dashboard Drivers'!O256</f>
        <v>#VALUE!</v>
      </c>
      <c r="H8" s="83" t="e">
        <f>'Dashboard Drivers'!O315</f>
        <v>#VALUE!</v>
      </c>
      <c r="I8" s="83" t="e">
        <f>'Dashboard Drivers'!O374</f>
        <v>#VALUE!</v>
      </c>
    </row>
    <row r="9" spans="1:9" ht="13.5" customHeight="1" thickBot="1" x14ac:dyDescent="0.5">
      <c r="B9" s="87">
        <f>'Dashboard Drivers'!A16</f>
        <v>0</v>
      </c>
      <c r="C9" s="83" t="e">
        <f>'Dashboard Drivers'!O16</f>
        <v>#VALUE!</v>
      </c>
      <c r="D9" s="83" t="e">
        <f>'Dashboard Drivers'!O77</f>
        <v>#VALUE!</v>
      </c>
      <c r="E9" s="83" t="e">
        <f>'Dashboard Drivers'!O138</f>
        <v>#VALUE!</v>
      </c>
      <c r="F9" s="83" t="e">
        <f>'Dashboard Drivers'!O198</f>
        <v>#VALUE!</v>
      </c>
      <c r="G9" s="83" t="e">
        <f>'Dashboard Drivers'!O257</f>
        <v>#VALUE!</v>
      </c>
      <c r="H9" s="83" t="e">
        <f>'Dashboard Drivers'!O316</f>
        <v>#VALUE!</v>
      </c>
      <c r="I9" s="83" t="e">
        <f>'Dashboard Drivers'!O375</f>
        <v>#VALUE!</v>
      </c>
    </row>
    <row r="10" spans="1:9" ht="13.5" customHeight="1" thickBot="1" x14ac:dyDescent="0.5">
      <c r="B10" s="87">
        <f>'Dashboard Drivers'!A17</f>
        <v>0</v>
      </c>
      <c r="C10" s="83" t="e">
        <f>'Dashboard Drivers'!O17</f>
        <v>#VALUE!</v>
      </c>
      <c r="D10" s="83" t="e">
        <f>'Dashboard Drivers'!O78</f>
        <v>#VALUE!</v>
      </c>
      <c r="E10" s="83" t="e">
        <f>'Dashboard Drivers'!O139</f>
        <v>#VALUE!</v>
      </c>
      <c r="F10" s="83" t="e">
        <f>'Dashboard Drivers'!O199</f>
        <v>#VALUE!</v>
      </c>
      <c r="G10" s="83" t="e">
        <f>'Dashboard Drivers'!O258</f>
        <v>#VALUE!</v>
      </c>
      <c r="H10" s="83" t="e">
        <f>'Dashboard Drivers'!O317</f>
        <v>#VALUE!</v>
      </c>
      <c r="I10" s="83" t="e">
        <f>'Dashboard Drivers'!O376</f>
        <v>#VALUE!</v>
      </c>
    </row>
    <row r="11" spans="1:9" ht="13.5" customHeight="1" thickBot="1" x14ac:dyDescent="0.5">
      <c r="B11" s="87">
        <f>'Dashboard Drivers'!A18</f>
        <v>0</v>
      </c>
      <c r="C11" s="83" t="e">
        <f>'Dashboard Drivers'!O18</f>
        <v>#VALUE!</v>
      </c>
      <c r="D11" s="83" t="e">
        <f>'Dashboard Drivers'!O79</f>
        <v>#VALUE!</v>
      </c>
      <c r="E11" s="83" t="e">
        <f>'Dashboard Drivers'!O140</f>
        <v>#VALUE!</v>
      </c>
      <c r="F11" s="83" t="e">
        <f>'Dashboard Drivers'!O200</f>
        <v>#VALUE!</v>
      </c>
      <c r="G11" s="83" t="e">
        <f>'Dashboard Drivers'!O259</f>
        <v>#VALUE!</v>
      </c>
      <c r="H11" s="83" t="e">
        <f>'Dashboard Drivers'!O318</f>
        <v>#VALUE!</v>
      </c>
      <c r="I11" s="83" t="e">
        <f>'Dashboard Drivers'!O377</f>
        <v>#VALUE!</v>
      </c>
    </row>
    <row r="12" spans="1:9" ht="13.5" customHeight="1" thickBot="1" x14ac:dyDescent="0.5">
      <c r="B12" s="87">
        <f>'Dashboard Drivers'!A19</f>
        <v>0</v>
      </c>
      <c r="C12" s="83" t="e">
        <f>'Dashboard Drivers'!O19</f>
        <v>#VALUE!</v>
      </c>
      <c r="D12" s="83" t="e">
        <f>'Dashboard Drivers'!O80</f>
        <v>#VALUE!</v>
      </c>
      <c r="E12" s="83" t="e">
        <f>'Dashboard Drivers'!O141</f>
        <v>#VALUE!</v>
      </c>
      <c r="F12" s="83" t="e">
        <f>'Dashboard Drivers'!O201</f>
        <v>#VALUE!</v>
      </c>
      <c r="G12" s="83" t="e">
        <f>'Dashboard Drivers'!O260</f>
        <v>#VALUE!</v>
      </c>
      <c r="H12" s="83" t="e">
        <f>'Dashboard Drivers'!O319</f>
        <v>#VALUE!</v>
      </c>
      <c r="I12" s="83" t="e">
        <f>'Dashboard Drivers'!O378</f>
        <v>#VALUE!</v>
      </c>
    </row>
    <row r="13" spans="1:9" ht="13.5" customHeight="1" thickBot="1" x14ac:dyDescent="0.5">
      <c r="B13" s="87">
        <f>'Dashboard Drivers'!A20</f>
        <v>0</v>
      </c>
      <c r="C13" s="83" t="e">
        <f>'Dashboard Drivers'!O20</f>
        <v>#VALUE!</v>
      </c>
      <c r="D13" s="83" t="e">
        <f>'Dashboard Drivers'!O81</f>
        <v>#VALUE!</v>
      </c>
      <c r="E13" s="83" t="e">
        <f>'Dashboard Drivers'!O142</f>
        <v>#VALUE!</v>
      </c>
      <c r="F13" s="83" t="e">
        <f>'Dashboard Drivers'!O202</f>
        <v>#VALUE!</v>
      </c>
      <c r="G13" s="83" t="e">
        <f>'Dashboard Drivers'!O261</f>
        <v>#VALUE!</v>
      </c>
      <c r="H13" s="83" t="e">
        <f>'Dashboard Drivers'!O320</f>
        <v>#VALUE!</v>
      </c>
      <c r="I13" s="83" t="e">
        <f>'Dashboard Drivers'!O379</f>
        <v>#VALUE!</v>
      </c>
    </row>
    <row r="14" spans="1:9" ht="13.5" customHeight="1" thickBot="1" x14ac:dyDescent="0.5">
      <c r="B14" s="87">
        <f>'Dashboard Drivers'!A21</f>
        <v>0</v>
      </c>
      <c r="C14" s="83" t="e">
        <f>'Dashboard Drivers'!O21</f>
        <v>#VALUE!</v>
      </c>
      <c r="D14" s="83" t="e">
        <f>'Dashboard Drivers'!O82</f>
        <v>#VALUE!</v>
      </c>
      <c r="E14" s="83" t="e">
        <f>'Dashboard Drivers'!O143</f>
        <v>#VALUE!</v>
      </c>
      <c r="F14" s="83" t="e">
        <f>'Dashboard Drivers'!O203</f>
        <v>#VALUE!</v>
      </c>
      <c r="G14" s="83" t="e">
        <f>'Dashboard Drivers'!O262</f>
        <v>#VALUE!</v>
      </c>
      <c r="H14" s="83" t="e">
        <f>'Dashboard Drivers'!O321</f>
        <v>#VALUE!</v>
      </c>
      <c r="I14" s="83" t="e">
        <f>'Dashboard Drivers'!O380</f>
        <v>#VALUE!</v>
      </c>
    </row>
    <row r="15" spans="1:9" ht="13.5" customHeight="1" thickBot="1" x14ac:dyDescent="0.5">
      <c r="B15" s="87">
        <f>'Dashboard Drivers'!A22</f>
        <v>0</v>
      </c>
      <c r="C15" s="83" t="e">
        <f>'Dashboard Drivers'!O22</f>
        <v>#VALUE!</v>
      </c>
      <c r="D15" s="83" t="e">
        <f>'Dashboard Drivers'!O83</f>
        <v>#VALUE!</v>
      </c>
      <c r="E15" s="83" t="e">
        <f>'Dashboard Drivers'!O144</f>
        <v>#VALUE!</v>
      </c>
      <c r="F15" s="83" t="e">
        <f>'Dashboard Drivers'!O204</f>
        <v>#VALUE!</v>
      </c>
      <c r="G15" s="83" t="e">
        <f>'Dashboard Drivers'!O263</f>
        <v>#VALUE!</v>
      </c>
      <c r="H15" s="83" t="e">
        <f>'Dashboard Drivers'!O322</f>
        <v>#VALUE!</v>
      </c>
      <c r="I15" s="83" t="e">
        <f>'Dashboard Drivers'!O381</f>
        <v>#VALUE!</v>
      </c>
    </row>
    <row r="16" spans="1:9" ht="13.5" customHeight="1" thickBot="1" x14ac:dyDescent="0.5">
      <c r="B16" s="87">
        <f>'Dashboard Drivers'!A23</f>
        <v>0</v>
      </c>
      <c r="C16" s="83" t="e">
        <f>'Dashboard Drivers'!O23</f>
        <v>#VALUE!</v>
      </c>
      <c r="D16" s="83" t="e">
        <f>'Dashboard Drivers'!O84</f>
        <v>#VALUE!</v>
      </c>
      <c r="E16" s="83" t="e">
        <f>'Dashboard Drivers'!O145</f>
        <v>#VALUE!</v>
      </c>
      <c r="F16" s="83" t="e">
        <f>'Dashboard Drivers'!O205</f>
        <v>#VALUE!</v>
      </c>
      <c r="G16" s="83" t="e">
        <f>'Dashboard Drivers'!O264</f>
        <v>#VALUE!</v>
      </c>
      <c r="H16" s="83" t="e">
        <f>'Dashboard Drivers'!O323</f>
        <v>#VALUE!</v>
      </c>
      <c r="I16" s="83" t="e">
        <f>'Dashboard Drivers'!O382</f>
        <v>#VALUE!</v>
      </c>
    </row>
    <row r="17" spans="2:9" ht="13.5" customHeight="1" thickBot="1" x14ac:dyDescent="0.5">
      <c r="B17" s="87">
        <f>'Dashboard Drivers'!A24</f>
        <v>0</v>
      </c>
      <c r="C17" s="83" t="e">
        <f>'Dashboard Drivers'!O24</f>
        <v>#VALUE!</v>
      </c>
      <c r="D17" s="83" t="e">
        <f>'Dashboard Drivers'!O85</f>
        <v>#VALUE!</v>
      </c>
      <c r="E17" s="83" t="e">
        <f>'Dashboard Drivers'!O146</f>
        <v>#VALUE!</v>
      </c>
      <c r="F17" s="83" t="e">
        <f>'Dashboard Drivers'!O206</f>
        <v>#VALUE!</v>
      </c>
      <c r="G17" s="83" t="e">
        <f>'Dashboard Drivers'!O265</f>
        <v>#VALUE!</v>
      </c>
      <c r="H17" s="83" t="e">
        <f>'Dashboard Drivers'!O324</f>
        <v>#VALUE!</v>
      </c>
      <c r="I17" s="83" t="e">
        <f>'Dashboard Drivers'!O383</f>
        <v>#VALUE!</v>
      </c>
    </row>
    <row r="18" spans="2:9" ht="13.5" customHeight="1" thickBot="1" x14ac:dyDescent="0.5">
      <c r="B18" s="87">
        <f>'Dashboard Drivers'!A25</f>
        <v>0</v>
      </c>
      <c r="C18" s="83" t="e">
        <f>'Dashboard Drivers'!O25</f>
        <v>#VALUE!</v>
      </c>
      <c r="D18" s="83" t="e">
        <f>'Dashboard Drivers'!O86</f>
        <v>#VALUE!</v>
      </c>
      <c r="E18" s="83" t="e">
        <f>'Dashboard Drivers'!O147</f>
        <v>#VALUE!</v>
      </c>
      <c r="F18" s="83" t="e">
        <f>'Dashboard Drivers'!O207</f>
        <v>#VALUE!</v>
      </c>
      <c r="G18" s="83" t="e">
        <f>'Dashboard Drivers'!O266</f>
        <v>#VALUE!</v>
      </c>
      <c r="H18" s="83" t="e">
        <f>'Dashboard Drivers'!O325</f>
        <v>#VALUE!</v>
      </c>
      <c r="I18" s="83" t="e">
        <f>'Dashboard Drivers'!O384</f>
        <v>#VALUE!</v>
      </c>
    </row>
    <row r="19" spans="2:9" ht="13.5" customHeight="1" thickBot="1" x14ac:dyDescent="0.5">
      <c r="B19" s="87">
        <f>'Dashboard Drivers'!A26</f>
        <v>0</v>
      </c>
      <c r="C19" s="83" t="e">
        <f>'Dashboard Drivers'!O26</f>
        <v>#VALUE!</v>
      </c>
      <c r="D19" s="83" t="e">
        <f>'Dashboard Drivers'!O87</f>
        <v>#VALUE!</v>
      </c>
      <c r="E19" s="83" t="e">
        <f>'Dashboard Drivers'!O148</f>
        <v>#VALUE!</v>
      </c>
      <c r="F19" s="83" t="e">
        <f>'Dashboard Drivers'!O208</f>
        <v>#VALUE!</v>
      </c>
      <c r="G19" s="83" t="e">
        <f>'Dashboard Drivers'!O267</f>
        <v>#VALUE!</v>
      </c>
      <c r="H19" s="83" t="e">
        <f>'Dashboard Drivers'!O326</f>
        <v>#VALUE!</v>
      </c>
      <c r="I19" s="83" t="e">
        <f>'Dashboard Drivers'!O385</f>
        <v>#VALUE!</v>
      </c>
    </row>
    <row r="20" spans="2:9" ht="13.5" customHeight="1" thickBot="1" x14ac:dyDescent="0.5">
      <c r="B20" s="87">
        <f>'Dashboard Drivers'!A27</f>
        <v>0</v>
      </c>
      <c r="C20" s="83" t="e">
        <f>'Dashboard Drivers'!O27</f>
        <v>#VALUE!</v>
      </c>
      <c r="D20" s="83" t="e">
        <f>'Dashboard Drivers'!O88</f>
        <v>#VALUE!</v>
      </c>
      <c r="E20" s="83" t="e">
        <f>'Dashboard Drivers'!O149</f>
        <v>#VALUE!</v>
      </c>
      <c r="F20" s="83" t="e">
        <f>'Dashboard Drivers'!O209</f>
        <v>#VALUE!</v>
      </c>
      <c r="G20" s="83" t="e">
        <f>'Dashboard Drivers'!O268</f>
        <v>#VALUE!</v>
      </c>
      <c r="H20" s="83" t="e">
        <f>'Dashboard Drivers'!O327</f>
        <v>#VALUE!</v>
      </c>
      <c r="I20" s="83" t="e">
        <f>'Dashboard Drivers'!O386</f>
        <v>#VALUE!</v>
      </c>
    </row>
    <row r="21" spans="2:9" ht="13.5" customHeight="1" thickBot="1" x14ac:dyDescent="0.5">
      <c r="B21" s="87">
        <f>'Dashboard Drivers'!A28</f>
        <v>0</v>
      </c>
      <c r="C21" s="83" t="e">
        <f>'Dashboard Drivers'!O28</f>
        <v>#VALUE!</v>
      </c>
      <c r="D21" s="83" t="e">
        <f>'Dashboard Drivers'!O89</f>
        <v>#VALUE!</v>
      </c>
      <c r="E21" s="83" t="e">
        <f>'Dashboard Drivers'!O150</f>
        <v>#VALUE!</v>
      </c>
      <c r="F21" s="83" t="e">
        <f>'Dashboard Drivers'!O210</f>
        <v>#VALUE!</v>
      </c>
      <c r="G21" s="83" t="e">
        <f>'Dashboard Drivers'!O269</f>
        <v>#VALUE!</v>
      </c>
      <c r="H21" s="83" t="e">
        <f>'Dashboard Drivers'!O328</f>
        <v>#VALUE!</v>
      </c>
      <c r="I21" s="83" t="e">
        <f>'Dashboard Drivers'!O387</f>
        <v>#VALUE!</v>
      </c>
    </row>
    <row r="22" spans="2:9" ht="13.5" customHeight="1" thickBot="1" x14ac:dyDescent="0.5">
      <c r="B22" s="87">
        <f>'Dashboard Drivers'!A29</f>
        <v>0</v>
      </c>
      <c r="C22" s="83" t="e">
        <f>'Dashboard Drivers'!O29</f>
        <v>#VALUE!</v>
      </c>
      <c r="D22" s="83" t="e">
        <f>'Dashboard Drivers'!O90</f>
        <v>#VALUE!</v>
      </c>
      <c r="E22" s="83" t="e">
        <f>'Dashboard Drivers'!O151</f>
        <v>#VALUE!</v>
      </c>
      <c r="F22" s="83" t="e">
        <f>'Dashboard Drivers'!O211</f>
        <v>#VALUE!</v>
      </c>
      <c r="G22" s="83" t="e">
        <f>'Dashboard Drivers'!O270</f>
        <v>#VALUE!</v>
      </c>
      <c r="H22" s="83" t="e">
        <f>'Dashboard Drivers'!O329</f>
        <v>#VALUE!</v>
      </c>
      <c r="I22" s="83" t="e">
        <f>'Dashboard Drivers'!O388</f>
        <v>#VALUE!</v>
      </c>
    </row>
    <row r="23" spans="2:9" ht="13.5" customHeight="1" thickBot="1" x14ac:dyDescent="0.5">
      <c r="B23" s="87">
        <f>'Dashboard Drivers'!A30</f>
        <v>0</v>
      </c>
      <c r="C23" s="83" t="e">
        <f>'Dashboard Drivers'!O30</f>
        <v>#VALUE!</v>
      </c>
      <c r="D23" s="83" t="e">
        <f>'Dashboard Drivers'!O91</f>
        <v>#VALUE!</v>
      </c>
      <c r="E23" s="83" t="e">
        <f>'Dashboard Drivers'!O152</f>
        <v>#VALUE!</v>
      </c>
      <c r="F23" s="83" t="e">
        <f>'Dashboard Drivers'!O212</f>
        <v>#VALUE!</v>
      </c>
      <c r="G23" s="83" t="e">
        <f>'Dashboard Drivers'!O271</f>
        <v>#VALUE!</v>
      </c>
      <c r="H23" s="83" t="e">
        <f>'Dashboard Drivers'!O330</f>
        <v>#VALUE!</v>
      </c>
      <c r="I23" s="83" t="e">
        <f>'Dashboard Drivers'!O389</f>
        <v>#VALUE!</v>
      </c>
    </row>
    <row r="24" spans="2:9" ht="13.5" customHeight="1" thickBot="1" x14ac:dyDescent="0.5">
      <c r="B24" s="87">
        <f>'Dashboard Drivers'!A31</f>
        <v>0</v>
      </c>
      <c r="C24" s="83" t="e">
        <f>'Dashboard Drivers'!O31</f>
        <v>#VALUE!</v>
      </c>
      <c r="D24" s="83" t="e">
        <f>'Dashboard Drivers'!O92</f>
        <v>#VALUE!</v>
      </c>
      <c r="E24" s="83" t="e">
        <f>'Dashboard Drivers'!O153</f>
        <v>#VALUE!</v>
      </c>
      <c r="F24" s="83" t="e">
        <f>'Dashboard Drivers'!O213</f>
        <v>#VALUE!</v>
      </c>
      <c r="G24" s="83" t="e">
        <f>'Dashboard Drivers'!O272</f>
        <v>#VALUE!</v>
      </c>
      <c r="H24" s="83" t="e">
        <f>'Dashboard Drivers'!O331</f>
        <v>#VALUE!</v>
      </c>
      <c r="I24" s="83" t="e">
        <f>'Dashboard Drivers'!O390</f>
        <v>#VALUE!</v>
      </c>
    </row>
    <row r="25" spans="2:9" ht="13.5" customHeight="1" thickBot="1" x14ac:dyDescent="0.5">
      <c r="B25" s="87">
        <f>'Dashboard Drivers'!A32</f>
        <v>0</v>
      </c>
      <c r="C25" s="83" t="e">
        <f>'Dashboard Drivers'!O32</f>
        <v>#VALUE!</v>
      </c>
      <c r="D25" s="83" t="e">
        <f>'Dashboard Drivers'!O93</f>
        <v>#VALUE!</v>
      </c>
      <c r="E25" s="83" t="e">
        <f>'Dashboard Drivers'!O154</f>
        <v>#VALUE!</v>
      </c>
      <c r="F25" s="83" t="e">
        <f>'Dashboard Drivers'!O214</f>
        <v>#VALUE!</v>
      </c>
      <c r="G25" s="83" t="e">
        <f>'Dashboard Drivers'!O273</f>
        <v>#VALUE!</v>
      </c>
      <c r="H25" s="83" t="e">
        <f>'Dashboard Drivers'!O332</f>
        <v>#VALUE!</v>
      </c>
      <c r="I25" s="83" t="e">
        <f>'Dashboard Drivers'!O391</f>
        <v>#VALUE!</v>
      </c>
    </row>
    <row r="26" spans="2:9" ht="13.5" customHeight="1" thickBot="1" x14ac:dyDescent="0.5">
      <c r="B26" s="87">
        <f>'Dashboard Drivers'!A33</f>
        <v>0</v>
      </c>
      <c r="C26" s="83" t="e">
        <f>'Dashboard Drivers'!O33</f>
        <v>#VALUE!</v>
      </c>
      <c r="D26" s="83" t="e">
        <f>'Dashboard Drivers'!O94</f>
        <v>#VALUE!</v>
      </c>
      <c r="E26" s="83" t="e">
        <f>'Dashboard Drivers'!O155</f>
        <v>#VALUE!</v>
      </c>
      <c r="F26" s="83" t="e">
        <f>'Dashboard Drivers'!O215</f>
        <v>#VALUE!</v>
      </c>
      <c r="G26" s="83" t="e">
        <f>'Dashboard Drivers'!O274</f>
        <v>#VALUE!</v>
      </c>
      <c r="H26" s="83" t="e">
        <f>'Dashboard Drivers'!O333</f>
        <v>#VALUE!</v>
      </c>
      <c r="I26" s="83" t="e">
        <f>'Dashboard Drivers'!O392</f>
        <v>#VALUE!</v>
      </c>
    </row>
    <row r="27" spans="2:9" ht="16.5" thickBot="1" x14ac:dyDescent="0.5">
      <c r="B27" s="87">
        <f>'Dashboard Drivers'!A34</f>
        <v>0</v>
      </c>
      <c r="C27" s="83" t="e">
        <f>'Dashboard Drivers'!O34</f>
        <v>#VALUE!</v>
      </c>
      <c r="D27" s="83" t="e">
        <f>'Dashboard Drivers'!O95</f>
        <v>#VALUE!</v>
      </c>
      <c r="E27" s="83" t="e">
        <f>'Dashboard Drivers'!O156</f>
        <v>#VALUE!</v>
      </c>
      <c r="F27" s="83" t="e">
        <f>'Dashboard Drivers'!O216</f>
        <v>#VALUE!</v>
      </c>
      <c r="G27" s="83" t="e">
        <f>'Dashboard Drivers'!O275</f>
        <v>#VALUE!</v>
      </c>
      <c r="H27" s="83" t="e">
        <f>'Dashboard Drivers'!O334</f>
        <v>#VALUE!</v>
      </c>
      <c r="I27" s="83" t="e">
        <f>'Dashboard Drivers'!O393</f>
        <v>#VALUE!</v>
      </c>
    </row>
    <row r="28" spans="2:9" ht="16.5" thickBot="1" x14ac:dyDescent="0.5">
      <c r="B28" s="87">
        <f>'Dashboard Drivers'!A35</f>
        <v>0</v>
      </c>
      <c r="C28" s="83" t="e">
        <f>'Dashboard Drivers'!O35</f>
        <v>#VALUE!</v>
      </c>
      <c r="D28" s="83" t="e">
        <f>'Dashboard Drivers'!O96</f>
        <v>#VALUE!</v>
      </c>
      <c r="E28" s="83" t="e">
        <f>'Dashboard Drivers'!O157</f>
        <v>#VALUE!</v>
      </c>
      <c r="F28" s="83" t="e">
        <f>'Dashboard Drivers'!O217</f>
        <v>#VALUE!</v>
      </c>
      <c r="G28" s="83" t="e">
        <f>'Dashboard Drivers'!O276</f>
        <v>#VALUE!</v>
      </c>
      <c r="H28" s="83" t="e">
        <f>'Dashboard Drivers'!O335</f>
        <v>#VALUE!</v>
      </c>
      <c r="I28" s="83" t="e">
        <f>'Dashboard Drivers'!O394</f>
        <v>#VALUE!</v>
      </c>
    </row>
    <row r="29" spans="2:9" ht="16.5" thickBot="1" x14ac:dyDescent="0.5">
      <c r="B29" s="87">
        <f>'Dashboard Drivers'!A36</f>
        <v>0</v>
      </c>
      <c r="C29" s="83" t="e">
        <f>'Dashboard Drivers'!O36</f>
        <v>#VALUE!</v>
      </c>
      <c r="D29" s="83" t="e">
        <f>'Dashboard Drivers'!O97</f>
        <v>#VALUE!</v>
      </c>
      <c r="E29" s="83" t="e">
        <f>'Dashboard Drivers'!O158</f>
        <v>#VALUE!</v>
      </c>
      <c r="F29" s="83" t="e">
        <f>'Dashboard Drivers'!O218</f>
        <v>#VALUE!</v>
      </c>
      <c r="G29" s="83" t="e">
        <f>'Dashboard Drivers'!O277</f>
        <v>#VALUE!</v>
      </c>
      <c r="H29" s="83" t="e">
        <f>'Dashboard Drivers'!O336</f>
        <v>#VALUE!</v>
      </c>
      <c r="I29" s="83" t="e">
        <f>'Dashboard Drivers'!O395</f>
        <v>#VALUE!</v>
      </c>
    </row>
    <row r="30" spans="2:9" ht="16.5" thickBot="1" x14ac:dyDescent="0.5">
      <c r="B30" s="87">
        <f>'Dashboard Drivers'!A37</f>
        <v>0</v>
      </c>
      <c r="C30" s="83" t="e">
        <f>'Dashboard Drivers'!O37</f>
        <v>#VALUE!</v>
      </c>
      <c r="D30" s="83" t="e">
        <f>'Dashboard Drivers'!O98</f>
        <v>#VALUE!</v>
      </c>
      <c r="E30" s="83" t="e">
        <f>'Dashboard Drivers'!O159</f>
        <v>#VALUE!</v>
      </c>
      <c r="F30" s="83" t="e">
        <f>'Dashboard Drivers'!O219</f>
        <v>#VALUE!</v>
      </c>
      <c r="G30" s="83" t="e">
        <f>'Dashboard Drivers'!O278</f>
        <v>#VALUE!</v>
      </c>
      <c r="H30" s="83" t="e">
        <f>'Dashboard Drivers'!O337</f>
        <v>#VALUE!</v>
      </c>
      <c r="I30" s="83" t="e">
        <f>'Dashboard Drivers'!O396</f>
        <v>#VALUE!</v>
      </c>
    </row>
    <row r="31" spans="2:9" ht="16.5" thickBot="1" x14ac:dyDescent="0.5">
      <c r="B31" s="87">
        <f>'Dashboard Drivers'!A38</f>
        <v>0</v>
      </c>
      <c r="C31" s="83" t="e">
        <f>'Dashboard Drivers'!O38</f>
        <v>#VALUE!</v>
      </c>
      <c r="D31" s="83" t="e">
        <f>'Dashboard Drivers'!O99</f>
        <v>#VALUE!</v>
      </c>
      <c r="E31" s="83" t="e">
        <f>'Dashboard Drivers'!O160</f>
        <v>#VALUE!</v>
      </c>
      <c r="F31" s="83" t="e">
        <f>'Dashboard Drivers'!O220</f>
        <v>#VALUE!</v>
      </c>
      <c r="G31" s="83" t="e">
        <f>'Dashboard Drivers'!O279</f>
        <v>#VALUE!</v>
      </c>
      <c r="H31" s="83" t="e">
        <f>'Dashboard Drivers'!O338</f>
        <v>#VALUE!</v>
      </c>
      <c r="I31" s="83" t="e">
        <f>'Dashboard Drivers'!O397</f>
        <v>#VALUE!</v>
      </c>
    </row>
    <row r="32" spans="2:9" ht="16.5" thickBot="1" x14ac:dyDescent="0.5">
      <c r="B32" s="87">
        <f>'Dashboard Drivers'!A39</f>
        <v>0</v>
      </c>
      <c r="C32" s="83" t="e">
        <f>'Dashboard Drivers'!O39</f>
        <v>#VALUE!</v>
      </c>
      <c r="D32" s="83" t="e">
        <f>'Dashboard Drivers'!O100</f>
        <v>#VALUE!</v>
      </c>
      <c r="E32" s="83" t="e">
        <f>'Dashboard Drivers'!O161</f>
        <v>#VALUE!</v>
      </c>
      <c r="F32" s="83" t="e">
        <f>'Dashboard Drivers'!O221</f>
        <v>#VALUE!</v>
      </c>
      <c r="G32" s="83" t="e">
        <f>'Dashboard Drivers'!O280</f>
        <v>#VALUE!</v>
      </c>
      <c r="H32" s="83" t="e">
        <f>'Dashboard Drivers'!O339</f>
        <v>#VALUE!</v>
      </c>
      <c r="I32" s="83" t="e">
        <f>'Dashboard Drivers'!O398</f>
        <v>#VALUE!</v>
      </c>
    </row>
    <row r="33" spans="2:9" ht="16.5" thickBot="1" x14ac:dyDescent="0.5">
      <c r="B33" s="87">
        <f>'Dashboard Drivers'!A40</f>
        <v>0</v>
      </c>
      <c r="C33" s="83" t="e">
        <f>'Dashboard Drivers'!O40</f>
        <v>#VALUE!</v>
      </c>
      <c r="D33" s="83" t="e">
        <f>'Dashboard Drivers'!O101</f>
        <v>#VALUE!</v>
      </c>
      <c r="E33" s="83" t="e">
        <f>'Dashboard Drivers'!O162</f>
        <v>#VALUE!</v>
      </c>
      <c r="F33" s="83" t="e">
        <f>'Dashboard Drivers'!O222</f>
        <v>#VALUE!</v>
      </c>
      <c r="G33" s="83" t="e">
        <f>'Dashboard Drivers'!O281</f>
        <v>#VALUE!</v>
      </c>
      <c r="H33" s="83" t="e">
        <f>'Dashboard Drivers'!O340</f>
        <v>#VALUE!</v>
      </c>
      <c r="I33" s="83" t="e">
        <f>'Dashboard Drivers'!O399</f>
        <v>#VALUE!</v>
      </c>
    </row>
    <row r="34" spans="2:9" ht="16.5" thickBot="1" x14ac:dyDescent="0.5">
      <c r="B34" s="87">
        <f>'Dashboard Drivers'!A41</f>
        <v>0</v>
      </c>
      <c r="C34" s="83" t="e">
        <f>'Dashboard Drivers'!O41</f>
        <v>#VALUE!</v>
      </c>
      <c r="D34" s="83" t="e">
        <f>'Dashboard Drivers'!O102</f>
        <v>#VALUE!</v>
      </c>
      <c r="E34" s="83" t="e">
        <f>'Dashboard Drivers'!O163</f>
        <v>#VALUE!</v>
      </c>
      <c r="F34" s="83" t="e">
        <f>'Dashboard Drivers'!O223</f>
        <v>#VALUE!</v>
      </c>
      <c r="G34" s="83" t="e">
        <f>'Dashboard Drivers'!O282</f>
        <v>#VALUE!</v>
      </c>
      <c r="H34" s="83" t="e">
        <f>'Dashboard Drivers'!O341</f>
        <v>#VALUE!</v>
      </c>
      <c r="I34" s="83" t="e">
        <f>'Dashboard Drivers'!O400</f>
        <v>#VALUE!</v>
      </c>
    </row>
    <row r="35" spans="2:9" ht="16.5" thickBot="1" x14ac:dyDescent="0.5">
      <c r="B35" s="87">
        <f>'Dashboard Drivers'!A42</f>
        <v>0</v>
      </c>
      <c r="C35" s="83" t="e">
        <f>'Dashboard Drivers'!O42</f>
        <v>#VALUE!</v>
      </c>
      <c r="D35" s="83" t="e">
        <f>'Dashboard Drivers'!O103</f>
        <v>#VALUE!</v>
      </c>
      <c r="E35" s="83" t="e">
        <f>'Dashboard Drivers'!O164</f>
        <v>#VALUE!</v>
      </c>
      <c r="F35" s="83" t="e">
        <f>'Dashboard Drivers'!O224</f>
        <v>#VALUE!</v>
      </c>
      <c r="G35" s="83" t="e">
        <f>'Dashboard Drivers'!O283</f>
        <v>#VALUE!</v>
      </c>
      <c r="H35" s="83" t="e">
        <f>'Dashboard Drivers'!O342</f>
        <v>#VALUE!</v>
      </c>
      <c r="I35" s="83" t="e">
        <f>'Dashboard Drivers'!O401</f>
        <v>#VALUE!</v>
      </c>
    </row>
    <row r="36" spans="2:9" ht="16.5" thickBot="1" x14ac:dyDescent="0.5">
      <c r="B36" s="87">
        <f>'Dashboard Drivers'!A43</f>
        <v>0</v>
      </c>
      <c r="C36" s="83" t="e">
        <f>'Dashboard Drivers'!O43</f>
        <v>#VALUE!</v>
      </c>
      <c r="D36" s="83" t="e">
        <f>'Dashboard Drivers'!O104</f>
        <v>#VALUE!</v>
      </c>
      <c r="E36" s="83" t="e">
        <f>'Dashboard Drivers'!O165</f>
        <v>#VALUE!</v>
      </c>
      <c r="F36" s="83" t="e">
        <f>'Dashboard Drivers'!O225</f>
        <v>#VALUE!</v>
      </c>
      <c r="G36" s="83" t="e">
        <f>'Dashboard Drivers'!O284</f>
        <v>#VALUE!</v>
      </c>
      <c r="H36" s="83" t="e">
        <f>'Dashboard Drivers'!O343</f>
        <v>#VALUE!</v>
      </c>
      <c r="I36" s="83" t="e">
        <f>'Dashboard Drivers'!O402</f>
        <v>#VALUE!</v>
      </c>
    </row>
    <row r="37" spans="2:9" ht="16.5" thickBot="1" x14ac:dyDescent="0.5">
      <c r="B37" s="87">
        <f>'Dashboard Drivers'!A44</f>
        <v>0</v>
      </c>
      <c r="C37" s="83" t="e">
        <f>'Dashboard Drivers'!O44</f>
        <v>#VALUE!</v>
      </c>
      <c r="D37" s="83" t="e">
        <f>'Dashboard Drivers'!O105</f>
        <v>#VALUE!</v>
      </c>
      <c r="E37" s="83" t="e">
        <f>'Dashboard Drivers'!O166</f>
        <v>#VALUE!</v>
      </c>
      <c r="F37" s="83" t="e">
        <f>'Dashboard Drivers'!O226</f>
        <v>#VALUE!</v>
      </c>
      <c r="G37" s="83" t="e">
        <f>'Dashboard Drivers'!O285</f>
        <v>#VALUE!</v>
      </c>
      <c r="H37" s="83" t="e">
        <f>'Dashboard Drivers'!O344</f>
        <v>#VALUE!</v>
      </c>
      <c r="I37" s="83" t="e">
        <f>'Dashboard Drivers'!O403</f>
        <v>#VALUE!</v>
      </c>
    </row>
    <row r="38" spans="2:9" ht="16.5" thickBot="1" x14ac:dyDescent="0.5">
      <c r="B38" s="87">
        <f>'Dashboard Drivers'!A45</f>
        <v>0</v>
      </c>
      <c r="C38" s="83" t="e">
        <f>'Dashboard Drivers'!O45</f>
        <v>#VALUE!</v>
      </c>
      <c r="D38" s="83" t="e">
        <f>'Dashboard Drivers'!O106</f>
        <v>#VALUE!</v>
      </c>
      <c r="E38" s="83" t="e">
        <f>'Dashboard Drivers'!O167</f>
        <v>#VALUE!</v>
      </c>
      <c r="F38" s="83" t="e">
        <f>'Dashboard Drivers'!O227</f>
        <v>#VALUE!</v>
      </c>
      <c r="G38" s="83" t="e">
        <f>'Dashboard Drivers'!O286</f>
        <v>#VALUE!</v>
      </c>
      <c r="H38" s="83" t="e">
        <f>'Dashboard Drivers'!O345</f>
        <v>#VALUE!</v>
      </c>
      <c r="I38" s="83" t="e">
        <f>'Dashboard Drivers'!O404</f>
        <v>#VALUE!</v>
      </c>
    </row>
    <row r="39" spans="2:9" ht="16.5" thickBot="1" x14ac:dyDescent="0.5">
      <c r="B39" s="87">
        <f>'Dashboard Drivers'!A46</f>
        <v>0</v>
      </c>
      <c r="C39" s="83" t="e">
        <f>'Dashboard Drivers'!O46</f>
        <v>#VALUE!</v>
      </c>
      <c r="D39" s="83" t="e">
        <f>'Dashboard Drivers'!O107</f>
        <v>#VALUE!</v>
      </c>
      <c r="E39" s="83" t="e">
        <f>'Dashboard Drivers'!O168</f>
        <v>#VALUE!</v>
      </c>
      <c r="F39" s="83" t="e">
        <f>'Dashboard Drivers'!O228</f>
        <v>#VALUE!</v>
      </c>
      <c r="G39" s="83" t="e">
        <f>'Dashboard Drivers'!O287</f>
        <v>#VALUE!</v>
      </c>
      <c r="H39" s="83" t="e">
        <f>'Dashboard Drivers'!O346</f>
        <v>#VALUE!</v>
      </c>
      <c r="I39" s="83" t="e">
        <f>'Dashboard Drivers'!O405</f>
        <v>#VALUE!</v>
      </c>
    </row>
    <row r="40" spans="2:9" ht="16.5" thickBot="1" x14ac:dyDescent="0.5">
      <c r="B40" s="87">
        <f>'Dashboard Drivers'!A47</f>
        <v>0</v>
      </c>
      <c r="C40" s="83" t="e">
        <f>'Dashboard Drivers'!O47</f>
        <v>#VALUE!</v>
      </c>
      <c r="D40" s="83" t="e">
        <f>'Dashboard Drivers'!O108</f>
        <v>#VALUE!</v>
      </c>
      <c r="E40" s="83" t="e">
        <f>'Dashboard Drivers'!O169</f>
        <v>#VALUE!</v>
      </c>
      <c r="F40" s="83" t="e">
        <f>'Dashboard Drivers'!O229</f>
        <v>#VALUE!</v>
      </c>
      <c r="G40" s="83" t="e">
        <f>'Dashboard Drivers'!O288</f>
        <v>#VALUE!</v>
      </c>
      <c r="H40" s="83" t="e">
        <f>'Dashboard Drivers'!O347</f>
        <v>#VALUE!</v>
      </c>
      <c r="I40" s="83" t="e">
        <f>'Dashboard Drivers'!O406</f>
        <v>#VALUE!</v>
      </c>
    </row>
    <row r="41" spans="2:9" ht="16.5" thickBot="1" x14ac:dyDescent="0.5">
      <c r="B41" s="87">
        <f>'Dashboard Drivers'!A48</f>
        <v>0</v>
      </c>
      <c r="C41" s="83" t="e">
        <f>'Dashboard Drivers'!O48</f>
        <v>#VALUE!</v>
      </c>
      <c r="D41" s="83" t="e">
        <f>'Dashboard Drivers'!O109</f>
        <v>#VALUE!</v>
      </c>
      <c r="E41" s="83" t="e">
        <f>'Dashboard Drivers'!O170</f>
        <v>#VALUE!</v>
      </c>
      <c r="F41" s="83" t="e">
        <f>'Dashboard Drivers'!O230</f>
        <v>#VALUE!</v>
      </c>
      <c r="G41" s="83" t="e">
        <f>'Dashboard Drivers'!O289</f>
        <v>#VALUE!</v>
      </c>
      <c r="H41" s="83" t="e">
        <f>'Dashboard Drivers'!O348</f>
        <v>#VALUE!</v>
      </c>
      <c r="I41" s="83" t="e">
        <f>'Dashboard Drivers'!O407</f>
        <v>#VALUE!</v>
      </c>
    </row>
    <row r="42" spans="2:9" ht="16.5" thickBot="1" x14ac:dyDescent="0.5">
      <c r="B42" s="87">
        <f>'Dashboard Drivers'!A49</f>
        <v>0</v>
      </c>
      <c r="C42" s="83" t="e">
        <f>'Dashboard Drivers'!O49</f>
        <v>#VALUE!</v>
      </c>
      <c r="D42" s="83" t="e">
        <f>'Dashboard Drivers'!O110</f>
        <v>#VALUE!</v>
      </c>
      <c r="E42" s="83" t="e">
        <f>'Dashboard Drivers'!O171</f>
        <v>#VALUE!</v>
      </c>
      <c r="F42" s="83" t="e">
        <f>'Dashboard Drivers'!O231</f>
        <v>#VALUE!</v>
      </c>
      <c r="G42" s="83" t="e">
        <f>'Dashboard Drivers'!O290</f>
        <v>#VALUE!</v>
      </c>
      <c r="H42" s="83" t="e">
        <f>'Dashboard Drivers'!O349</f>
        <v>#VALUE!</v>
      </c>
      <c r="I42" s="83" t="e">
        <f>'Dashboard Drivers'!O408</f>
        <v>#VALUE!</v>
      </c>
    </row>
    <row r="43" spans="2:9" ht="16.5" thickBot="1" x14ac:dyDescent="0.5">
      <c r="B43" s="87">
        <f>'Dashboard Drivers'!A50</f>
        <v>0</v>
      </c>
      <c r="C43" s="83" t="e">
        <f>'Dashboard Drivers'!O50</f>
        <v>#VALUE!</v>
      </c>
      <c r="D43" s="83" t="e">
        <f>'Dashboard Drivers'!O111</f>
        <v>#VALUE!</v>
      </c>
      <c r="E43" s="83" t="e">
        <f>'Dashboard Drivers'!O172</f>
        <v>#VALUE!</v>
      </c>
      <c r="F43" s="83" t="e">
        <f>'Dashboard Drivers'!O232</f>
        <v>#VALUE!</v>
      </c>
      <c r="G43" s="83" t="e">
        <f>'Dashboard Drivers'!O291</f>
        <v>#VALUE!</v>
      </c>
      <c r="H43" s="83" t="e">
        <f>'Dashboard Drivers'!O350</f>
        <v>#VALUE!</v>
      </c>
      <c r="I43" s="83" t="e">
        <f>'Dashboard Drivers'!O409</f>
        <v>#VALUE!</v>
      </c>
    </row>
    <row r="44" spans="2:9" ht="16.5" thickBot="1" x14ac:dyDescent="0.5">
      <c r="B44" s="87">
        <f>'Dashboard Drivers'!A51</f>
        <v>0</v>
      </c>
      <c r="C44" s="83" t="e">
        <f>'Dashboard Drivers'!O51</f>
        <v>#VALUE!</v>
      </c>
      <c r="D44" s="83" t="e">
        <f>'Dashboard Drivers'!O112</f>
        <v>#VALUE!</v>
      </c>
      <c r="E44" s="83" t="e">
        <f>'Dashboard Drivers'!O173</f>
        <v>#VALUE!</v>
      </c>
      <c r="F44" s="83" t="e">
        <f>'Dashboard Drivers'!O233</f>
        <v>#VALUE!</v>
      </c>
      <c r="G44" s="83" t="e">
        <f>'Dashboard Drivers'!O292</f>
        <v>#VALUE!</v>
      </c>
      <c r="H44" s="83" t="e">
        <f>'Dashboard Drivers'!O351</f>
        <v>#VALUE!</v>
      </c>
      <c r="I44" s="83" t="e">
        <f>'Dashboard Drivers'!O410</f>
        <v>#VALUE!</v>
      </c>
    </row>
    <row r="45" spans="2:9" ht="16.5" thickBot="1" x14ac:dyDescent="0.5">
      <c r="B45" s="87">
        <f>'Dashboard Drivers'!A52</f>
        <v>0</v>
      </c>
      <c r="C45" s="83" t="e">
        <f>'Dashboard Drivers'!O52</f>
        <v>#VALUE!</v>
      </c>
      <c r="D45" s="83" t="e">
        <f>'Dashboard Drivers'!O113</f>
        <v>#VALUE!</v>
      </c>
      <c r="E45" s="83" t="e">
        <f>'Dashboard Drivers'!O174</f>
        <v>#VALUE!</v>
      </c>
      <c r="F45" s="83" t="e">
        <f>'Dashboard Drivers'!O234</f>
        <v>#VALUE!</v>
      </c>
      <c r="G45" s="83" t="e">
        <f>'Dashboard Drivers'!O293</f>
        <v>#VALUE!</v>
      </c>
      <c r="H45" s="83" t="e">
        <f>'Dashboard Drivers'!O352</f>
        <v>#VALUE!</v>
      </c>
      <c r="I45" s="83" t="e">
        <f>'Dashboard Drivers'!O411</f>
        <v>#VALUE!</v>
      </c>
    </row>
    <row r="46" spans="2:9" ht="16.5" thickBot="1" x14ac:dyDescent="0.5">
      <c r="B46" s="87">
        <f>'Dashboard Drivers'!A53</f>
        <v>0</v>
      </c>
      <c r="C46" s="83" t="e">
        <f>'Dashboard Drivers'!O53</f>
        <v>#VALUE!</v>
      </c>
      <c r="D46" s="83" t="e">
        <f>'Dashboard Drivers'!O114</f>
        <v>#VALUE!</v>
      </c>
      <c r="E46" s="83" t="e">
        <f>'Dashboard Drivers'!O175</f>
        <v>#VALUE!</v>
      </c>
      <c r="F46" s="83" t="e">
        <f>'Dashboard Drivers'!O235</f>
        <v>#VALUE!</v>
      </c>
      <c r="G46" s="83" t="e">
        <f>'Dashboard Drivers'!O294</f>
        <v>#VALUE!</v>
      </c>
      <c r="H46" s="83" t="e">
        <f>'Dashboard Drivers'!O353</f>
        <v>#VALUE!</v>
      </c>
      <c r="I46" s="83" t="e">
        <f>'Dashboard Drivers'!O412</f>
        <v>#VALUE!</v>
      </c>
    </row>
    <row r="47" spans="2:9" ht="16.5" thickBot="1" x14ac:dyDescent="0.5">
      <c r="B47" s="87">
        <f>'Dashboard Drivers'!A54</f>
        <v>0</v>
      </c>
      <c r="C47" s="83" t="e">
        <f>'Dashboard Drivers'!O54</f>
        <v>#VALUE!</v>
      </c>
      <c r="D47" s="83" t="e">
        <f>'Dashboard Drivers'!O115</f>
        <v>#VALUE!</v>
      </c>
      <c r="E47" s="83" t="e">
        <f>'Dashboard Drivers'!O176</f>
        <v>#VALUE!</v>
      </c>
      <c r="F47" s="83" t="e">
        <f>'Dashboard Drivers'!O236</f>
        <v>#VALUE!</v>
      </c>
      <c r="G47" s="83" t="e">
        <f>'Dashboard Drivers'!O295</f>
        <v>#VALUE!</v>
      </c>
      <c r="H47" s="83" t="e">
        <f>'Dashboard Drivers'!O354</f>
        <v>#VALUE!</v>
      </c>
      <c r="I47" s="83" t="e">
        <f>'Dashboard Drivers'!O413</f>
        <v>#VALUE!</v>
      </c>
    </row>
    <row r="48" spans="2:9" ht="16.5" thickBot="1" x14ac:dyDescent="0.5">
      <c r="B48" s="87">
        <f>'Dashboard Drivers'!A55</f>
        <v>0</v>
      </c>
      <c r="C48" s="83" t="e">
        <f>'Dashboard Drivers'!O55</f>
        <v>#VALUE!</v>
      </c>
      <c r="D48" s="83" t="e">
        <f>'Dashboard Drivers'!O116</f>
        <v>#VALUE!</v>
      </c>
      <c r="E48" s="83" t="e">
        <f>'Dashboard Drivers'!O177</f>
        <v>#VALUE!</v>
      </c>
      <c r="F48" s="83" t="e">
        <f>'Dashboard Drivers'!O237</f>
        <v>#VALUE!</v>
      </c>
      <c r="G48" s="83" t="e">
        <f>'Dashboard Drivers'!O296</f>
        <v>#VALUE!</v>
      </c>
      <c r="H48" s="83" t="e">
        <f>'Dashboard Drivers'!O355</f>
        <v>#VALUE!</v>
      </c>
      <c r="I48" s="83" t="e">
        <f>'Dashboard Drivers'!O414</f>
        <v>#VALUE!</v>
      </c>
    </row>
    <row r="49" spans="2:9" ht="16.5" thickBot="1" x14ac:dyDescent="0.5">
      <c r="B49" s="87">
        <f>'Dashboard Drivers'!A56</f>
        <v>0</v>
      </c>
      <c r="C49" s="83" t="e">
        <f>'Dashboard Drivers'!O56</f>
        <v>#VALUE!</v>
      </c>
      <c r="D49" s="83" t="e">
        <f>'Dashboard Drivers'!O117</f>
        <v>#VALUE!</v>
      </c>
      <c r="E49" s="83" t="e">
        <f>'Dashboard Drivers'!O178</f>
        <v>#VALUE!</v>
      </c>
      <c r="F49" s="83" t="e">
        <f>'Dashboard Drivers'!O238</f>
        <v>#VALUE!</v>
      </c>
      <c r="G49" s="83" t="e">
        <f>'Dashboard Drivers'!O297</f>
        <v>#VALUE!</v>
      </c>
      <c r="H49" s="83" t="e">
        <f>'Dashboard Drivers'!O356</f>
        <v>#VALUE!</v>
      </c>
      <c r="I49" s="83" t="e">
        <f>'Dashboard Drivers'!O415</f>
        <v>#VALUE!</v>
      </c>
    </row>
    <row r="50" spans="2:9" ht="16.5" thickBot="1" x14ac:dyDescent="0.5">
      <c r="B50" s="87">
        <f>'Dashboard Drivers'!A57</f>
        <v>0</v>
      </c>
      <c r="C50" s="83" t="e">
        <f>'Dashboard Drivers'!O57</f>
        <v>#VALUE!</v>
      </c>
      <c r="D50" s="83" t="e">
        <f>'Dashboard Drivers'!O118</f>
        <v>#VALUE!</v>
      </c>
      <c r="E50" s="83" t="e">
        <f>'Dashboard Drivers'!O179</f>
        <v>#VALUE!</v>
      </c>
      <c r="F50" s="83" t="e">
        <f>'Dashboard Drivers'!O239</f>
        <v>#VALUE!</v>
      </c>
      <c r="G50" s="83" t="e">
        <f>'Dashboard Drivers'!O298</f>
        <v>#VALUE!</v>
      </c>
      <c r="H50" s="83" t="e">
        <f>'Dashboard Drivers'!O357</f>
        <v>#VALUE!</v>
      </c>
      <c r="I50" s="83" t="e">
        <f>'Dashboard Drivers'!O416</f>
        <v>#VALUE!</v>
      </c>
    </row>
    <row r="51" spans="2:9" ht="16.5" thickBot="1" x14ac:dyDescent="0.5">
      <c r="B51" s="87">
        <f>'Dashboard Drivers'!A58</f>
        <v>0</v>
      </c>
      <c r="C51" s="83" t="e">
        <f>'Dashboard Drivers'!O58</f>
        <v>#VALUE!</v>
      </c>
      <c r="D51" s="83" t="e">
        <f>'Dashboard Drivers'!O119</f>
        <v>#VALUE!</v>
      </c>
      <c r="E51" s="83" t="e">
        <f>'Dashboard Drivers'!O180</f>
        <v>#VALUE!</v>
      </c>
      <c r="F51" s="83" t="e">
        <f>'Dashboard Drivers'!O240</f>
        <v>#VALUE!</v>
      </c>
      <c r="G51" s="83" t="e">
        <f>'Dashboard Drivers'!O299</f>
        <v>#VALUE!</v>
      </c>
      <c r="H51" s="83" t="e">
        <f>'Dashboard Drivers'!O358</f>
        <v>#VALUE!</v>
      </c>
      <c r="I51" s="83" t="e">
        <f>'Dashboard Drivers'!O417</f>
        <v>#VALUE!</v>
      </c>
    </row>
  </sheetData>
  <conditionalFormatting sqref="C2:E51">
    <cfRule type="cellIs" dxfId="43" priority="39" operator="equal">
      <formula>"Yellow"</formula>
    </cfRule>
    <cfRule type="cellIs" dxfId="42" priority="40" operator="equal">
      <formula>"Blue"</formula>
    </cfRule>
    <cfRule type="cellIs" dxfId="41" priority="41" operator="equal">
      <formula>"Red"</formula>
    </cfRule>
    <cfRule type="cellIs" dxfId="40" priority="42" operator="equal">
      <formula>"Green"</formula>
    </cfRule>
  </conditionalFormatting>
  <conditionalFormatting sqref="F2:F51">
    <cfRule type="cellIs" dxfId="39" priority="18" operator="equal">
      <formula>"Yellow"</formula>
    </cfRule>
    <cfRule type="cellIs" dxfId="38" priority="19" operator="equal">
      <formula>"Blue"</formula>
    </cfRule>
    <cfRule type="cellIs" dxfId="37" priority="20" operator="equal">
      <formula>"Red"</formula>
    </cfRule>
    <cfRule type="cellIs" dxfId="36" priority="21" operator="equal">
      <formula>"Green"</formula>
    </cfRule>
  </conditionalFormatting>
  <conditionalFormatting sqref="G2:G51">
    <cfRule type="cellIs" dxfId="35" priority="13" operator="equal">
      <formula>"Yellow"</formula>
    </cfRule>
    <cfRule type="cellIs" dxfId="34" priority="14" operator="equal">
      <formula>"Blue"</formula>
    </cfRule>
    <cfRule type="cellIs" dxfId="33" priority="15" operator="equal">
      <formula>"Red"</formula>
    </cfRule>
    <cfRule type="cellIs" dxfId="32" priority="16" operator="equal">
      <formula>"Green"</formula>
    </cfRule>
  </conditionalFormatting>
  <conditionalFormatting sqref="H2:H51">
    <cfRule type="cellIs" dxfId="31" priority="8" operator="equal">
      <formula>"Yellow"</formula>
    </cfRule>
    <cfRule type="cellIs" dxfId="30" priority="9" operator="equal">
      <formula>"Blue"</formula>
    </cfRule>
    <cfRule type="cellIs" dxfId="29" priority="10" operator="equal">
      <formula>"Red"</formula>
    </cfRule>
    <cfRule type="cellIs" dxfId="28" priority="11" operator="equal">
      <formula>"Green"</formula>
    </cfRule>
  </conditionalFormatting>
  <conditionalFormatting sqref="I2:I51">
    <cfRule type="cellIs" dxfId="27" priority="3" operator="equal">
      <formula>"Yellow"</formula>
    </cfRule>
    <cfRule type="cellIs" dxfId="26" priority="4" operator="equal">
      <formula>"Blue"</formula>
    </cfRule>
    <cfRule type="cellIs" dxfId="25" priority="5" operator="equal">
      <formula>"Red"</formula>
    </cfRule>
    <cfRule type="cellIs" dxfId="24" priority="6" operator="equal">
      <formula>"Green"</formula>
    </cfRule>
  </conditionalFormatting>
  <pageMargins left="0.75" right="0.75" top="1" bottom="1" header="0.5" footer="0.5"/>
  <pageSetup orientation="portrait"/>
  <headerFooter alignWithMargin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B8762BF0-AFAF-452A-B0DF-ED315919CA9D}">
            <xm:f>NOT(ISERROR(SEARCH("Pink",C2)))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C2:C51</xm:sqref>
        </x14:conditionalFormatting>
        <x14:conditionalFormatting xmlns:xm="http://schemas.microsoft.com/office/excel/2006/main">
          <x14:cfRule type="containsText" priority="24" operator="containsText" id="{606A5BD7-DCD8-4AD2-8B7C-8CA123BCC356}">
            <xm:f>NOT(ISERROR(SEARCH("Pink",D2)))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D2:D51</xm:sqref>
        </x14:conditionalFormatting>
        <x14:conditionalFormatting xmlns:xm="http://schemas.microsoft.com/office/excel/2006/main">
          <x14:cfRule type="containsText" priority="17" operator="containsText" id="{78697F70-4A5B-4676-99E1-B6D25436A6E1}">
            <xm:f>NOT(ISERROR(SEARCH("Pink",F2)))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F2:F51</xm:sqref>
        </x14:conditionalFormatting>
        <x14:conditionalFormatting xmlns:xm="http://schemas.microsoft.com/office/excel/2006/main">
          <x14:cfRule type="containsText" priority="12" operator="containsText" id="{0DEFAD62-A73D-4AFF-ACEC-627BDF0498F0}">
            <xm:f>NOT(ISERROR(SEARCH("Pink",G2)))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G2:G51</xm:sqref>
        </x14:conditionalFormatting>
        <x14:conditionalFormatting xmlns:xm="http://schemas.microsoft.com/office/excel/2006/main">
          <x14:cfRule type="containsText" priority="7" operator="containsText" id="{42CEFFE9-B2C0-4088-A54E-1461E490BF52}">
            <xm:f>NOT(ISERROR(SEARCH("Pink",H2)))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H2:H51</xm:sqref>
        </x14:conditionalFormatting>
        <x14:conditionalFormatting xmlns:xm="http://schemas.microsoft.com/office/excel/2006/main">
          <x14:cfRule type="containsText" priority="2" operator="containsText" id="{846F93F6-B5BA-4FD6-8C14-DE75168AAA27}">
            <xm:f>NOT(ISERROR(SEARCH("Pink",I2)))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I2:I51</xm:sqref>
        </x14:conditionalFormatting>
        <x14:conditionalFormatting xmlns:xm="http://schemas.microsoft.com/office/excel/2006/main">
          <x14:cfRule type="containsText" priority="1" operator="containsText" id="{C79AFDB1-D730-4EFC-8F60-DB5502B63E4F}">
            <xm:f>NOT(ISERROR(SEARCH("Pink",E2)))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E2:E51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FD0C-3969-4061-8D55-431B32D11438}">
  <sheetPr codeName="Sheet16"/>
  <dimension ref="B1:N96"/>
  <sheetViews>
    <sheetView workbookViewId="0">
      <selection activeCell="C12" sqref="C12"/>
    </sheetView>
  </sheetViews>
  <sheetFormatPr defaultRowHeight="16.5" x14ac:dyDescent="0.45"/>
  <cols>
    <col min="2" max="2" width="72.83203125" customWidth="1"/>
    <col min="3" max="9" width="11.75" customWidth="1"/>
  </cols>
  <sheetData>
    <row r="1" spans="2:14" ht="17" thickBot="1" x14ac:dyDescent="0.5">
      <c r="B1" s="81"/>
      <c r="C1" s="86" t="str">
        <f>'Dashboard Drivers'!A1</f>
        <v>Matrix 1</v>
      </c>
      <c r="D1" s="86" t="str">
        <f>'Dashboard Drivers'!A62</f>
        <v>Matrix 2</v>
      </c>
      <c r="E1" s="86" t="str">
        <f>'Dashboard Drivers'!A123</f>
        <v>Matrix 3</v>
      </c>
      <c r="F1" s="86" t="str">
        <f>'Dashboard Drivers'!A183</f>
        <v>Matrix 4</v>
      </c>
      <c r="G1" s="86" t="str">
        <f>'Dashboard Drivers'!A242</f>
        <v>Matrix 5</v>
      </c>
      <c r="H1" s="86" t="str">
        <f>'Dashboard Drivers'!A301</f>
        <v>Matrix 6</v>
      </c>
      <c r="I1" s="86" t="str">
        <f>'Dashboard Drivers'!A360</f>
        <v>Matrix 7</v>
      </c>
    </row>
    <row r="2" spans="2:14" ht="17" thickBot="1" x14ac:dyDescent="0.5">
      <c r="B2" s="87">
        <f>'Dashboard Drivers'!A10</f>
        <v>0</v>
      </c>
      <c r="C2" s="83" t="e">
        <f>'Dashboard Drivers'!O10</f>
        <v>#VALUE!</v>
      </c>
      <c r="D2" s="83" t="e">
        <f>'Dashboard Drivers'!O71</f>
        <v>#VALUE!</v>
      </c>
      <c r="E2" s="83" t="e">
        <f>'Dashboard Drivers'!O132</f>
        <v>#VALUE!</v>
      </c>
      <c r="F2" s="83" t="e">
        <f>'Dashboard Drivers'!O192</f>
        <v>#VALUE!</v>
      </c>
      <c r="G2" s="83" t="e">
        <f>'Dashboard Drivers'!O251</f>
        <v>#VALUE!</v>
      </c>
      <c r="H2" s="83" t="e">
        <f>'Dashboard Drivers'!O310</f>
        <v>#VALUE!</v>
      </c>
      <c r="I2" s="83" t="e">
        <f>'Dashboard Drivers'!O369</f>
        <v>#VALUE!</v>
      </c>
      <c r="J2" s="83"/>
      <c r="K2" s="83"/>
      <c r="L2" s="83"/>
      <c r="M2" s="83"/>
      <c r="N2" s="83"/>
    </row>
    <row r="3" spans="2:14" ht="17" thickBot="1" x14ac:dyDescent="0.5">
      <c r="B3" s="87">
        <f>'Dashboard Drivers'!A11</f>
        <v>0</v>
      </c>
      <c r="C3" s="83" t="e">
        <f>'Dashboard Drivers'!O11</f>
        <v>#VALUE!</v>
      </c>
      <c r="D3" s="83" t="e">
        <f>'Dashboard Drivers'!O72</f>
        <v>#VALUE!</v>
      </c>
      <c r="E3" s="83" t="e">
        <f>'Dashboard Drivers'!O133</f>
        <v>#VALUE!</v>
      </c>
      <c r="F3" s="83" t="e">
        <f>'Dashboard Drivers'!O193</f>
        <v>#VALUE!</v>
      </c>
      <c r="G3" s="83" t="e">
        <f>'Dashboard Drivers'!O252</f>
        <v>#VALUE!</v>
      </c>
      <c r="H3" s="83" t="e">
        <f>'Dashboard Drivers'!O311</f>
        <v>#VALUE!</v>
      </c>
      <c r="I3" s="83" t="e">
        <f>'Dashboard Drivers'!O370</f>
        <v>#VALUE!</v>
      </c>
      <c r="J3" s="83"/>
      <c r="K3" s="83"/>
      <c r="L3" s="83"/>
      <c r="M3" s="83"/>
      <c r="N3" s="83"/>
    </row>
    <row r="4" spans="2:14" ht="17" thickBot="1" x14ac:dyDescent="0.5">
      <c r="B4" s="87">
        <f>'Dashboard Drivers'!A12</f>
        <v>0</v>
      </c>
      <c r="C4" s="83" t="e">
        <f>'Dashboard Drivers'!O12</f>
        <v>#VALUE!</v>
      </c>
      <c r="D4" s="83" t="e">
        <f>'Dashboard Drivers'!O73</f>
        <v>#VALUE!</v>
      </c>
      <c r="E4" s="83" t="e">
        <f>'Dashboard Drivers'!O134</f>
        <v>#VALUE!</v>
      </c>
      <c r="F4" s="83" t="e">
        <f>'Dashboard Drivers'!O194</f>
        <v>#VALUE!</v>
      </c>
      <c r="G4" s="83" t="e">
        <f>'Dashboard Drivers'!O253</f>
        <v>#VALUE!</v>
      </c>
      <c r="H4" s="83" t="e">
        <f>'Dashboard Drivers'!O312</f>
        <v>#VALUE!</v>
      </c>
      <c r="I4" s="83" t="e">
        <f>'Dashboard Drivers'!O371</f>
        <v>#VALUE!</v>
      </c>
      <c r="J4" s="83"/>
      <c r="K4" s="83"/>
      <c r="L4" s="83"/>
      <c r="M4" s="83"/>
      <c r="N4" s="83"/>
    </row>
    <row r="5" spans="2:14" ht="17" thickBot="1" x14ac:dyDescent="0.5">
      <c r="B5" s="87">
        <f>'Dashboard Drivers'!A13</f>
        <v>0</v>
      </c>
      <c r="C5" s="83" t="e">
        <f>'Dashboard Drivers'!O13</f>
        <v>#VALUE!</v>
      </c>
      <c r="D5" s="83" t="e">
        <f>'Dashboard Drivers'!O74</f>
        <v>#VALUE!</v>
      </c>
      <c r="E5" s="83" t="e">
        <f>'Dashboard Drivers'!O135</f>
        <v>#VALUE!</v>
      </c>
      <c r="F5" s="83" t="e">
        <f>'Dashboard Drivers'!O195</f>
        <v>#VALUE!</v>
      </c>
      <c r="G5" s="83" t="e">
        <f>'Dashboard Drivers'!O254</f>
        <v>#VALUE!</v>
      </c>
      <c r="H5" s="83" t="e">
        <f>'Dashboard Drivers'!O313</f>
        <v>#VALUE!</v>
      </c>
      <c r="I5" s="83" t="e">
        <f>'Dashboard Drivers'!O372</f>
        <v>#VALUE!</v>
      </c>
      <c r="J5" s="83"/>
      <c r="K5" s="83"/>
      <c r="L5" s="83"/>
      <c r="M5" s="83"/>
      <c r="N5" s="83"/>
    </row>
    <row r="6" spans="2:14" ht="17" thickBot="1" x14ac:dyDescent="0.5">
      <c r="B6" s="87">
        <f>'Dashboard Drivers'!A14</f>
        <v>0</v>
      </c>
      <c r="C6" s="83" t="e">
        <f>'Dashboard Drivers'!O14</f>
        <v>#VALUE!</v>
      </c>
      <c r="D6" s="83" t="e">
        <f>'Dashboard Drivers'!O75</f>
        <v>#VALUE!</v>
      </c>
      <c r="E6" s="83" t="e">
        <f>'Dashboard Drivers'!O136</f>
        <v>#VALUE!</v>
      </c>
      <c r="F6" s="83" t="e">
        <f>'Dashboard Drivers'!O196</f>
        <v>#VALUE!</v>
      </c>
      <c r="G6" s="83" t="e">
        <f>'Dashboard Drivers'!O255</f>
        <v>#VALUE!</v>
      </c>
      <c r="H6" s="83" t="e">
        <f>'Dashboard Drivers'!O314</f>
        <v>#VALUE!</v>
      </c>
      <c r="I6" s="83" t="e">
        <f>'Dashboard Drivers'!O373</f>
        <v>#VALUE!</v>
      </c>
      <c r="J6" s="83"/>
      <c r="K6" s="83"/>
      <c r="L6" s="83"/>
      <c r="M6" s="83"/>
      <c r="N6" s="83"/>
    </row>
    <row r="7" spans="2:14" ht="17" thickBot="1" x14ac:dyDescent="0.5">
      <c r="B7" s="87">
        <f>'Dashboard Drivers'!A15</f>
        <v>0</v>
      </c>
      <c r="C7" s="83" t="e">
        <f>'Dashboard Drivers'!O15</f>
        <v>#VALUE!</v>
      </c>
      <c r="D7" s="83" t="e">
        <f>'Dashboard Drivers'!O76</f>
        <v>#VALUE!</v>
      </c>
      <c r="E7" s="83" t="e">
        <f>'Dashboard Drivers'!O137</f>
        <v>#VALUE!</v>
      </c>
      <c r="F7" s="83" t="e">
        <f>'Dashboard Drivers'!O197</f>
        <v>#VALUE!</v>
      </c>
      <c r="G7" s="83" t="e">
        <f>'Dashboard Drivers'!O256</f>
        <v>#VALUE!</v>
      </c>
      <c r="H7" s="83" t="e">
        <f>'Dashboard Drivers'!O315</f>
        <v>#VALUE!</v>
      </c>
      <c r="I7" s="83" t="e">
        <f>'Dashboard Drivers'!O374</f>
        <v>#VALUE!</v>
      </c>
      <c r="J7" s="83"/>
      <c r="K7" s="83"/>
      <c r="L7" s="83"/>
      <c r="M7" s="83"/>
      <c r="N7" s="83"/>
    </row>
    <row r="8" spans="2:14" ht="17" thickBot="1" x14ac:dyDescent="0.5">
      <c r="B8" s="87">
        <f>'Dashboard Drivers'!A16</f>
        <v>0</v>
      </c>
      <c r="C8" s="83" t="e">
        <f>'Dashboard Drivers'!O16</f>
        <v>#VALUE!</v>
      </c>
      <c r="D8" s="83" t="e">
        <f>'Dashboard Drivers'!O77</f>
        <v>#VALUE!</v>
      </c>
      <c r="E8" s="83" t="e">
        <f>'Dashboard Drivers'!O138</f>
        <v>#VALUE!</v>
      </c>
      <c r="F8" s="83" t="e">
        <f>'Dashboard Drivers'!O198</f>
        <v>#VALUE!</v>
      </c>
      <c r="G8" s="83" t="e">
        <f>'Dashboard Drivers'!O257</f>
        <v>#VALUE!</v>
      </c>
      <c r="H8" s="83" t="e">
        <f>'Dashboard Drivers'!O316</f>
        <v>#VALUE!</v>
      </c>
      <c r="I8" s="83" t="e">
        <f>'Dashboard Drivers'!O375</f>
        <v>#VALUE!</v>
      </c>
      <c r="J8" s="83"/>
      <c r="K8" s="83"/>
      <c r="L8" s="83"/>
      <c r="M8" s="83"/>
      <c r="N8" s="83"/>
    </row>
    <row r="9" spans="2:14" ht="17" thickBot="1" x14ac:dyDescent="0.5">
      <c r="B9" s="87">
        <f>'Dashboard Drivers'!A17</f>
        <v>0</v>
      </c>
      <c r="C9" s="83" t="e">
        <f>'Dashboard Drivers'!O17</f>
        <v>#VALUE!</v>
      </c>
      <c r="D9" s="83" t="e">
        <f>'Dashboard Drivers'!O78</f>
        <v>#VALUE!</v>
      </c>
      <c r="E9" s="83" t="e">
        <f>'Dashboard Drivers'!O139</f>
        <v>#VALUE!</v>
      </c>
      <c r="F9" s="83" t="e">
        <f>'Dashboard Drivers'!O199</f>
        <v>#VALUE!</v>
      </c>
      <c r="G9" s="83" t="e">
        <f>'Dashboard Drivers'!O258</f>
        <v>#VALUE!</v>
      </c>
      <c r="H9" s="83" t="e">
        <f>'Dashboard Drivers'!O317</f>
        <v>#VALUE!</v>
      </c>
      <c r="I9" s="83" t="e">
        <f>'Dashboard Drivers'!O376</f>
        <v>#VALUE!</v>
      </c>
      <c r="J9" s="83"/>
      <c r="K9" s="83"/>
      <c r="L9" s="83"/>
      <c r="M9" s="83"/>
      <c r="N9" s="83"/>
    </row>
    <row r="10" spans="2:14" ht="17" thickBot="1" x14ac:dyDescent="0.5">
      <c r="B10" s="87">
        <f>'Dashboard Drivers'!A9</f>
        <v>0</v>
      </c>
      <c r="C10" s="83" t="e">
        <f>'Dashboard Drivers'!O9</f>
        <v>#VALUE!</v>
      </c>
      <c r="D10" s="83" t="e">
        <f>'Dashboard Drivers'!O70</f>
        <v>#VALUE!</v>
      </c>
      <c r="E10" s="83" t="e">
        <f>'Dashboard Drivers'!O131</f>
        <v>#VALUE!</v>
      </c>
      <c r="F10" s="83" t="e">
        <f>'Dashboard Drivers'!O191</f>
        <v>#VALUE!</v>
      </c>
      <c r="G10" s="83" t="e">
        <f>'Dashboard Drivers'!O250</f>
        <v>#VALUE!</v>
      </c>
      <c r="H10" s="83" t="e">
        <f>'Dashboard Drivers'!O309</f>
        <v>#VALUE!</v>
      </c>
      <c r="I10" s="83" t="e">
        <f>'Dashboard Drivers'!O368</f>
        <v>#VALUE!</v>
      </c>
      <c r="J10" s="83"/>
      <c r="K10" s="83"/>
      <c r="L10" s="83"/>
      <c r="M10" s="83"/>
      <c r="N10" s="83"/>
    </row>
    <row r="11" spans="2:14" ht="17" thickBot="1" x14ac:dyDescent="0.5">
      <c r="B11" s="87">
        <f>'Dashboard Drivers'!A18</f>
        <v>0</v>
      </c>
      <c r="C11" s="83" t="e">
        <f>'Dashboard Drivers'!O18</f>
        <v>#VALUE!</v>
      </c>
      <c r="D11" s="83" t="e">
        <f>'Dashboard Drivers'!O79</f>
        <v>#VALUE!</v>
      </c>
      <c r="E11" s="83" t="e">
        <f>'Dashboard Drivers'!O140</f>
        <v>#VALUE!</v>
      </c>
      <c r="F11" s="83" t="e">
        <f>'Dashboard Drivers'!O200</f>
        <v>#VALUE!</v>
      </c>
      <c r="G11" s="83" t="e">
        <f>'Dashboard Drivers'!O259</f>
        <v>#VALUE!</v>
      </c>
      <c r="H11" s="83" t="e">
        <f>'Dashboard Drivers'!O318</f>
        <v>#VALUE!</v>
      </c>
      <c r="I11" s="83" t="e">
        <f>'Dashboard Drivers'!O377</f>
        <v>#VALUE!</v>
      </c>
      <c r="J11" s="83"/>
      <c r="K11" s="83"/>
      <c r="L11" s="83"/>
      <c r="M11" s="83"/>
      <c r="N11" s="83"/>
    </row>
    <row r="12" spans="2:14" ht="17" thickBot="1" x14ac:dyDescent="0.5">
      <c r="B12" s="87">
        <f>'Dashboard Drivers'!A19</f>
        <v>0</v>
      </c>
      <c r="C12" s="83" t="e">
        <f>'Dashboard Drivers'!O19</f>
        <v>#VALUE!</v>
      </c>
      <c r="D12" s="83" t="e">
        <f>'Dashboard Drivers'!O80</f>
        <v>#VALUE!</v>
      </c>
      <c r="E12" s="83" t="e">
        <f>'Dashboard Drivers'!O141</f>
        <v>#VALUE!</v>
      </c>
      <c r="F12" s="83" t="e">
        <f>'Dashboard Drivers'!O201</f>
        <v>#VALUE!</v>
      </c>
      <c r="G12" s="83" t="e">
        <f>'Dashboard Drivers'!O260</f>
        <v>#VALUE!</v>
      </c>
      <c r="H12" s="83" t="e">
        <f>'Dashboard Drivers'!O319</f>
        <v>#VALUE!</v>
      </c>
      <c r="I12" s="83" t="e">
        <f>'Dashboard Drivers'!O378</f>
        <v>#VALUE!</v>
      </c>
      <c r="J12" s="83"/>
      <c r="K12" s="83"/>
      <c r="L12" s="83"/>
      <c r="M12" s="83"/>
      <c r="N12" s="83"/>
    </row>
    <row r="13" spans="2:14" ht="17" thickBot="1" x14ac:dyDescent="0.5">
      <c r="B13" s="87">
        <f>'Dashboard Drivers'!A20</f>
        <v>0</v>
      </c>
      <c r="C13" s="83" t="e">
        <f>'Dashboard Drivers'!O20</f>
        <v>#VALUE!</v>
      </c>
      <c r="D13" s="83" t="e">
        <f>'Dashboard Drivers'!O81</f>
        <v>#VALUE!</v>
      </c>
      <c r="E13" s="83" t="e">
        <f>'Dashboard Drivers'!O142</f>
        <v>#VALUE!</v>
      </c>
      <c r="F13" s="83" t="e">
        <f>'Dashboard Drivers'!O202</f>
        <v>#VALUE!</v>
      </c>
      <c r="G13" s="83" t="e">
        <f>'Dashboard Drivers'!O261</f>
        <v>#VALUE!</v>
      </c>
      <c r="H13" s="83" t="e">
        <f>'Dashboard Drivers'!O320</f>
        <v>#VALUE!</v>
      </c>
      <c r="I13" s="83" t="e">
        <f>'Dashboard Drivers'!O379</f>
        <v>#VALUE!</v>
      </c>
      <c r="J13" s="83"/>
      <c r="K13" s="83"/>
      <c r="L13" s="83"/>
      <c r="M13" s="83"/>
      <c r="N13" s="83"/>
    </row>
    <row r="14" spans="2:14" ht="17" thickBot="1" x14ac:dyDescent="0.5">
      <c r="B14" s="87">
        <f>'Dashboard Drivers'!A21</f>
        <v>0</v>
      </c>
      <c r="C14" s="83" t="e">
        <f>'Dashboard Drivers'!O21</f>
        <v>#VALUE!</v>
      </c>
      <c r="D14" s="83" t="e">
        <f>'Dashboard Drivers'!O82</f>
        <v>#VALUE!</v>
      </c>
      <c r="E14" s="83" t="e">
        <f>'Dashboard Drivers'!O143</f>
        <v>#VALUE!</v>
      </c>
      <c r="F14" s="83" t="e">
        <f>'Dashboard Drivers'!O203</f>
        <v>#VALUE!</v>
      </c>
      <c r="G14" s="83" t="e">
        <f>'Dashboard Drivers'!O262</f>
        <v>#VALUE!</v>
      </c>
      <c r="H14" s="83" t="e">
        <f>'Dashboard Drivers'!O321</f>
        <v>#VALUE!</v>
      </c>
      <c r="I14" s="83" t="e">
        <f>'Dashboard Drivers'!O380</f>
        <v>#VALUE!</v>
      </c>
      <c r="J14" s="83"/>
      <c r="K14" s="83"/>
      <c r="L14" s="83"/>
      <c r="M14" s="83"/>
      <c r="N14" s="83"/>
    </row>
    <row r="15" spans="2:14" ht="17" thickBot="1" x14ac:dyDescent="0.5">
      <c r="B15" s="87">
        <f>'Dashboard Drivers'!A22</f>
        <v>0</v>
      </c>
      <c r="C15" s="83" t="e">
        <f>'Dashboard Drivers'!O22</f>
        <v>#VALUE!</v>
      </c>
      <c r="D15" s="83" t="e">
        <f>'Dashboard Drivers'!O83</f>
        <v>#VALUE!</v>
      </c>
      <c r="E15" s="83" t="e">
        <f>'Dashboard Drivers'!O144</f>
        <v>#VALUE!</v>
      </c>
      <c r="F15" s="83" t="e">
        <f>'Dashboard Drivers'!O204</f>
        <v>#VALUE!</v>
      </c>
      <c r="G15" s="83" t="e">
        <f>'Dashboard Drivers'!O263</f>
        <v>#VALUE!</v>
      </c>
      <c r="H15" s="83" t="e">
        <f>'Dashboard Drivers'!O322</f>
        <v>#VALUE!</v>
      </c>
      <c r="I15" s="83" t="e">
        <f>'Dashboard Drivers'!O381</f>
        <v>#VALUE!</v>
      </c>
      <c r="J15" s="83"/>
      <c r="K15" s="83"/>
      <c r="L15" s="83"/>
      <c r="M15" s="83"/>
      <c r="N15" s="83"/>
    </row>
    <row r="16" spans="2:14" ht="17" thickBot="1" x14ac:dyDescent="0.5">
      <c r="B16" s="87">
        <f>'Dashboard Drivers'!A23</f>
        <v>0</v>
      </c>
      <c r="C16" s="83" t="e">
        <f>'Dashboard Drivers'!O23</f>
        <v>#VALUE!</v>
      </c>
      <c r="D16" s="83" t="e">
        <f>'Dashboard Drivers'!O84</f>
        <v>#VALUE!</v>
      </c>
      <c r="E16" s="83" t="e">
        <f>'Dashboard Drivers'!O145</f>
        <v>#VALUE!</v>
      </c>
      <c r="F16" s="83" t="e">
        <f>'Dashboard Drivers'!O205</f>
        <v>#VALUE!</v>
      </c>
      <c r="G16" s="83" t="e">
        <f>'Dashboard Drivers'!O264</f>
        <v>#VALUE!</v>
      </c>
      <c r="H16" s="83" t="e">
        <f>'Dashboard Drivers'!O323</f>
        <v>#VALUE!</v>
      </c>
      <c r="I16" s="83" t="e">
        <f>'Dashboard Drivers'!O382</f>
        <v>#VALUE!</v>
      </c>
      <c r="J16" s="83"/>
      <c r="K16" s="83"/>
      <c r="L16" s="83"/>
      <c r="M16" s="83"/>
      <c r="N16" s="83"/>
    </row>
    <row r="17" spans="2:14" ht="17" thickBot="1" x14ac:dyDescent="0.5">
      <c r="B17" s="87">
        <f>'Dashboard Drivers'!A24</f>
        <v>0</v>
      </c>
      <c r="C17" s="83" t="e">
        <f>'Dashboard Drivers'!O24</f>
        <v>#VALUE!</v>
      </c>
      <c r="D17" s="83" t="e">
        <f>'Dashboard Drivers'!O85</f>
        <v>#VALUE!</v>
      </c>
      <c r="E17" s="83" t="e">
        <f>'Dashboard Drivers'!O146</f>
        <v>#VALUE!</v>
      </c>
      <c r="F17" s="83" t="e">
        <f>'Dashboard Drivers'!O206</f>
        <v>#VALUE!</v>
      </c>
      <c r="G17" s="83" t="e">
        <f>'Dashboard Drivers'!O265</f>
        <v>#VALUE!</v>
      </c>
      <c r="H17" s="83" t="e">
        <f>'Dashboard Drivers'!O324</f>
        <v>#VALUE!</v>
      </c>
      <c r="I17" s="83" t="e">
        <f>'Dashboard Drivers'!O383</f>
        <v>#VALUE!</v>
      </c>
      <c r="J17" s="83"/>
      <c r="K17" s="83"/>
      <c r="L17" s="83"/>
      <c r="M17" s="83"/>
      <c r="N17" s="83"/>
    </row>
    <row r="18" spans="2:14" ht="17" thickBot="1" x14ac:dyDescent="0.5">
      <c r="B18" s="87">
        <f>'Dashboard Drivers'!A25</f>
        <v>0</v>
      </c>
      <c r="C18" s="83" t="e">
        <f>'Dashboard Drivers'!O25</f>
        <v>#VALUE!</v>
      </c>
      <c r="D18" s="83" t="e">
        <f>'Dashboard Drivers'!O86</f>
        <v>#VALUE!</v>
      </c>
      <c r="E18" s="83" t="e">
        <f>'Dashboard Drivers'!O147</f>
        <v>#VALUE!</v>
      </c>
      <c r="F18" s="83" t="e">
        <f>'Dashboard Drivers'!O207</f>
        <v>#VALUE!</v>
      </c>
      <c r="G18" s="83" t="e">
        <f>'Dashboard Drivers'!O266</f>
        <v>#VALUE!</v>
      </c>
      <c r="H18" s="83" t="e">
        <f>'Dashboard Drivers'!O325</f>
        <v>#VALUE!</v>
      </c>
      <c r="I18" s="83" t="e">
        <f>'Dashboard Drivers'!O384</f>
        <v>#VALUE!</v>
      </c>
      <c r="J18" s="83"/>
      <c r="K18" s="83"/>
      <c r="L18" s="83"/>
      <c r="M18" s="83"/>
      <c r="N18" s="83"/>
    </row>
    <row r="19" spans="2:14" ht="17" thickBot="1" x14ac:dyDescent="0.5">
      <c r="B19" s="87">
        <f>'Dashboard Drivers'!A26</f>
        <v>0</v>
      </c>
      <c r="C19" s="83" t="e">
        <f>'Dashboard Drivers'!O26</f>
        <v>#VALUE!</v>
      </c>
      <c r="D19" s="83" t="e">
        <f>'Dashboard Drivers'!O87</f>
        <v>#VALUE!</v>
      </c>
      <c r="E19" s="83" t="e">
        <f>'Dashboard Drivers'!O148</f>
        <v>#VALUE!</v>
      </c>
      <c r="F19" s="83" t="e">
        <f>'Dashboard Drivers'!O208</f>
        <v>#VALUE!</v>
      </c>
      <c r="G19" s="83" t="e">
        <f>'Dashboard Drivers'!O267</f>
        <v>#VALUE!</v>
      </c>
      <c r="H19" s="83" t="e">
        <f>'Dashboard Drivers'!O326</f>
        <v>#VALUE!</v>
      </c>
      <c r="I19" s="83" t="e">
        <f>'Dashboard Drivers'!O385</f>
        <v>#VALUE!</v>
      </c>
      <c r="J19" s="83"/>
      <c r="K19" s="83"/>
      <c r="L19" s="83"/>
      <c r="M19" s="83"/>
      <c r="N19" s="83"/>
    </row>
    <row r="20" spans="2:14" ht="17" thickBot="1" x14ac:dyDescent="0.5">
      <c r="B20" s="87">
        <f>'Dashboard Drivers'!A27</f>
        <v>0</v>
      </c>
      <c r="C20" s="83" t="e">
        <f>'Dashboard Drivers'!O27</f>
        <v>#VALUE!</v>
      </c>
      <c r="D20" s="83" t="e">
        <f>'Dashboard Drivers'!O88</f>
        <v>#VALUE!</v>
      </c>
      <c r="E20" s="83" t="e">
        <f>'Dashboard Drivers'!O149</f>
        <v>#VALUE!</v>
      </c>
      <c r="F20" s="83" t="e">
        <f>'Dashboard Drivers'!O209</f>
        <v>#VALUE!</v>
      </c>
      <c r="G20" s="83" t="e">
        <f>'Dashboard Drivers'!O268</f>
        <v>#VALUE!</v>
      </c>
      <c r="H20" s="83" t="e">
        <f>'Dashboard Drivers'!O327</f>
        <v>#VALUE!</v>
      </c>
      <c r="I20" s="83" t="e">
        <f>'Dashboard Drivers'!O386</f>
        <v>#VALUE!</v>
      </c>
      <c r="J20" s="83"/>
      <c r="K20" s="83"/>
      <c r="L20" s="83"/>
      <c r="M20" s="83"/>
      <c r="N20" s="83"/>
    </row>
    <row r="21" spans="2:14" ht="17" thickBot="1" x14ac:dyDescent="0.5">
      <c r="B21" s="87">
        <f>'Dashboard Drivers'!A28</f>
        <v>0</v>
      </c>
      <c r="C21" s="83" t="e">
        <f>'Dashboard Drivers'!O28</f>
        <v>#VALUE!</v>
      </c>
      <c r="D21" s="83" t="e">
        <f>'Dashboard Drivers'!O89</f>
        <v>#VALUE!</v>
      </c>
      <c r="E21" s="83" t="e">
        <f>'Dashboard Drivers'!O150</f>
        <v>#VALUE!</v>
      </c>
      <c r="F21" s="83" t="e">
        <f>'Dashboard Drivers'!O210</f>
        <v>#VALUE!</v>
      </c>
      <c r="G21" s="83" t="e">
        <f>'Dashboard Drivers'!O269</f>
        <v>#VALUE!</v>
      </c>
      <c r="H21" s="83" t="e">
        <f>'Dashboard Drivers'!O328</f>
        <v>#VALUE!</v>
      </c>
      <c r="I21" s="83" t="e">
        <f>'Dashboard Drivers'!O387</f>
        <v>#VALUE!</v>
      </c>
      <c r="J21" s="83"/>
      <c r="K21" s="83"/>
      <c r="L21" s="83"/>
      <c r="M21" s="83"/>
      <c r="N21" s="83"/>
    </row>
    <row r="22" spans="2:14" ht="17" thickBot="1" x14ac:dyDescent="0.5">
      <c r="B22" s="87">
        <f>'Dashboard Drivers'!A29</f>
        <v>0</v>
      </c>
      <c r="C22" s="83" t="e">
        <f>'Dashboard Drivers'!O29</f>
        <v>#VALUE!</v>
      </c>
      <c r="D22" s="83" t="e">
        <f>'Dashboard Drivers'!O90</f>
        <v>#VALUE!</v>
      </c>
      <c r="E22" s="83" t="e">
        <f>'Dashboard Drivers'!O151</f>
        <v>#VALUE!</v>
      </c>
      <c r="F22" s="83" t="e">
        <f>'Dashboard Drivers'!O211</f>
        <v>#VALUE!</v>
      </c>
      <c r="G22" s="83" t="e">
        <f>'Dashboard Drivers'!O270</f>
        <v>#VALUE!</v>
      </c>
      <c r="H22" s="83" t="e">
        <f>'Dashboard Drivers'!O329</f>
        <v>#VALUE!</v>
      </c>
      <c r="I22" s="83" t="e">
        <f>'Dashboard Drivers'!O388</f>
        <v>#VALUE!</v>
      </c>
      <c r="J22" s="83"/>
      <c r="K22" s="83"/>
      <c r="L22" s="83"/>
      <c r="M22" s="83"/>
      <c r="N22" s="83"/>
    </row>
    <row r="23" spans="2:14" ht="17" thickBot="1" x14ac:dyDescent="0.5">
      <c r="B23" s="87">
        <f>'Dashboard Drivers'!A30</f>
        <v>0</v>
      </c>
      <c r="C23" s="83" t="e">
        <f>'Dashboard Drivers'!O30</f>
        <v>#VALUE!</v>
      </c>
      <c r="D23" s="83" t="e">
        <f>'Dashboard Drivers'!O91</f>
        <v>#VALUE!</v>
      </c>
      <c r="E23" s="83" t="e">
        <f>'Dashboard Drivers'!O152</f>
        <v>#VALUE!</v>
      </c>
      <c r="F23" s="83" t="e">
        <f>'Dashboard Drivers'!O212</f>
        <v>#VALUE!</v>
      </c>
      <c r="G23" s="83" t="e">
        <f>'Dashboard Drivers'!O271</f>
        <v>#VALUE!</v>
      </c>
      <c r="H23" s="83" t="e">
        <f>'Dashboard Drivers'!O330</f>
        <v>#VALUE!</v>
      </c>
      <c r="I23" s="83" t="e">
        <f>'Dashboard Drivers'!O389</f>
        <v>#VALUE!</v>
      </c>
      <c r="J23" s="83"/>
      <c r="K23" s="83"/>
      <c r="L23" s="83"/>
      <c r="M23" s="83"/>
      <c r="N23" s="83"/>
    </row>
    <row r="24" spans="2:14" ht="17" thickBot="1" x14ac:dyDescent="0.5">
      <c r="B24" s="87">
        <f>'Dashboard Drivers'!A31</f>
        <v>0</v>
      </c>
      <c r="C24" s="83" t="e">
        <f>'Dashboard Drivers'!O31</f>
        <v>#VALUE!</v>
      </c>
      <c r="D24" s="83" t="e">
        <f>'Dashboard Drivers'!O92</f>
        <v>#VALUE!</v>
      </c>
      <c r="E24" s="83" t="e">
        <f>'Dashboard Drivers'!O153</f>
        <v>#VALUE!</v>
      </c>
      <c r="F24" s="83" t="e">
        <f>'Dashboard Drivers'!O213</f>
        <v>#VALUE!</v>
      </c>
      <c r="G24" s="83" t="e">
        <f>'Dashboard Drivers'!O272</f>
        <v>#VALUE!</v>
      </c>
      <c r="H24" s="83" t="e">
        <f>'Dashboard Drivers'!O331</f>
        <v>#VALUE!</v>
      </c>
      <c r="I24" s="83" t="e">
        <f>'Dashboard Drivers'!O390</f>
        <v>#VALUE!</v>
      </c>
      <c r="J24" s="83"/>
      <c r="K24" s="83"/>
      <c r="L24" s="83"/>
      <c r="M24" s="83"/>
      <c r="N24" s="83"/>
    </row>
    <row r="25" spans="2:14" ht="17" thickBot="1" x14ac:dyDescent="0.5">
      <c r="B25" s="87">
        <f>'Dashboard Drivers'!A32</f>
        <v>0</v>
      </c>
      <c r="C25" s="83" t="e">
        <f>'Dashboard Drivers'!O32</f>
        <v>#VALUE!</v>
      </c>
      <c r="D25" s="83" t="e">
        <f>'Dashboard Drivers'!O93</f>
        <v>#VALUE!</v>
      </c>
      <c r="E25" s="83" t="e">
        <f>'Dashboard Drivers'!O154</f>
        <v>#VALUE!</v>
      </c>
      <c r="F25" s="83" t="e">
        <f>'Dashboard Drivers'!O214</f>
        <v>#VALUE!</v>
      </c>
      <c r="G25" s="83" t="e">
        <f>'Dashboard Drivers'!O273</f>
        <v>#VALUE!</v>
      </c>
      <c r="H25" s="83" t="e">
        <f>'Dashboard Drivers'!O332</f>
        <v>#VALUE!</v>
      </c>
      <c r="I25" s="83" t="e">
        <f>'Dashboard Drivers'!O391</f>
        <v>#VALUE!</v>
      </c>
      <c r="J25" s="83"/>
      <c r="K25" s="83"/>
      <c r="L25" s="83"/>
      <c r="M25" s="83"/>
      <c r="N25" s="83"/>
    </row>
    <row r="26" spans="2:14" ht="17" thickBot="1" x14ac:dyDescent="0.5">
      <c r="B26" s="87">
        <f>'Dashboard Drivers'!A33</f>
        <v>0</v>
      </c>
      <c r="C26" s="83" t="e">
        <f>'Dashboard Drivers'!O33</f>
        <v>#VALUE!</v>
      </c>
      <c r="D26" s="83" t="e">
        <f>'Dashboard Drivers'!O94</f>
        <v>#VALUE!</v>
      </c>
      <c r="E26" s="83" t="e">
        <f>'Dashboard Drivers'!O155</f>
        <v>#VALUE!</v>
      </c>
      <c r="F26" s="83" t="e">
        <f>'Dashboard Drivers'!O215</f>
        <v>#VALUE!</v>
      </c>
      <c r="G26" s="83" t="e">
        <f>'Dashboard Drivers'!O274</f>
        <v>#VALUE!</v>
      </c>
      <c r="H26" s="83" t="e">
        <f>'Dashboard Drivers'!O333</f>
        <v>#VALUE!</v>
      </c>
      <c r="I26" s="83" t="e">
        <f>'Dashboard Drivers'!O392</f>
        <v>#VALUE!</v>
      </c>
      <c r="J26" s="83"/>
      <c r="K26" s="83"/>
      <c r="L26" s="83"/>
      <c r="M26" s="83"/>
      <c r="N26" s="83"/>
    </row>
    <row r="27" spans="2:14" ht="17" thickBot="1" x14ac:dyDescent="0.5"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</row>
    <row r="28" spans="2:14" ht="17" thickBot="1" x14ac:dyDescent="0.5"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</row>
    <row r="29" spans="2:14" ht="17" thickBot="1" x14ac:dyDescent="0.5"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</row>
    <row r="30" spans="2:14" ht="17" thickBot="1" x14ac:dyDescent="0.5"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</row>
    <row r="31" spans="2:14" ht="17" thickBot="1" x14ac:dyDescent="0.5"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</row>
    <row r="32" spans="2:14" ht="17" thickBot="1" x14ac:dyDescent="0.5"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</row>
    <row r="33" spans="3:14" ht="17" thickBot="1" x14ac:dyDescent="0.5"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</row>
    <row r="34" spans="3:14" ht="17" thickBot="1" x14ac:dyDescent="0.5"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3:14" ht="17" thickBot="1" x14ac:dyDescent="0.5"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</row>
    <row r="36" spans="3:14" ht="17" thickBot="1" x14ac:dyDescent="0.5"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</row>
    <row r="37" spans="3:14" ht="17" thickBot="1" x14ac:dyDescent="0.5"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</row>
    <row r="38" spans="3:14" ht="17" thickBot="1" x14ac:dyDescent="0.5"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</row>
    <row r="39" spans="3:14" ht="17" thickBot="1" x14ac:dyDescent="0.5"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</row>
    <row r="40" spans="3:14" ht="17" thickBot="1" x14ac:dyDescent="0.5"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</row>
    <row r="41" spans="3:14" ht="17" thickBot="1" x14ac:dyDescent="0.5"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</row>
    <row r="42" spans="3:14" ht="17" thickBot="1" x14ac:dyDescent="0.5"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</row>
    <row r="43" spans="3:14" ht="17" thickBot="1" x14ac:dyDescent="0.5"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</row>
    <row r="44" spans="3:14" ht="17" thickBot="1" x14ac:dyDescent="0.5"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</row>
    <row r="45" spans="3:14" ht="17" thickBot="1" x14ac:dyDescent="0.5"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</row>
    <row r="46" spans="3:14" ht="17" thickBot="1" x14ac:dyDescent="0.5"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</row>
    <row r="47" spans="3:14" ht="17" thickBot="1" x14ac:dyDescent="0.5"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</row>
    <row r="48" spans="3:14" ht="17" thickBot="1" x14ac:dyDescent="0.5"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</row>
    <row r="49" spans="3:14" ht="17" thickBot="1" x14ac:dyDescent="0.5"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</row>
    <row r="50" spans="3:14" ht="17" thickBot="1" x14ac:dyDescent="0.5"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</row>
    <row r="51" spans="3:14" ht="17" thickBot="1" x14ac:dyDescent="0.5"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</row>
    <row r="52" spans="3:14" ht="17" thickBot="1" x14ac:dyDescent="0.5"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</row>
    <row r="53" spans="3:14" ht="17" thickBot="1" x14ac:dyDescent="0.5"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</row>
    <row r="54" spans="3:14" ht="17" thickBot="1" x14ac:dyDescent="0.5"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</row>
    <row r="55" spans="3:14" ht="17" thickBot="1" x14ac:dyDescent="0.5"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</row>
    <row r="56" spans="3:14" ht="17" thickBot="1" x14ac:dyDescent="0.5"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</row>
    <row r="57" spans="3:14" ht="17" thickBot="1" x14ac:dyDescent="0.5"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</row>
    <row r="58" spans="3:14" ht="17" thickBot="1" x14ac:dyDescent="0.5"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</row>
    <row r="59" spans="3:14" ht="17" thickBot="1" x14ac:dyDescent="0.5"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</row>
    <row r="60" spans="3:14" ht="17" thickBot="1" x14ac:dyDescent="0.5"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</row>
    <row r="61" spans="3:14" ht="17" thickBot="1" x14ac:dyDescent="0.5"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</row>
    <row r="62" spans="3:14" ht="17" thickBot="1" x14ac:dyDescent="0.5"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</row>
    <row r="63" spans="3:14" ht="17" thickBot="1" x14ac:dyDescent="0.5"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</row>
    <row r="64" spans="3:14" ht="17" thickBot="1" x14ac:dyDescent="0.5"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</row>
    <row r="65" spans="3:14" ht="17" thickBot="1" x14ac:dyDescent="0.5"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</row>
    <row r="66" spans="3:14" ht="17" thickBot="1" x14ac:dyDescent="0.5"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</row>
    <row r="67" spans="3:14" ht="17" thickBot="1" x14ac:dyDescent="0.5"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</row>
    <row r="68" spans="3:14" ht="17" thickBot="1" x14ac:dyDescent="0.5"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</row>
    <row r="69" spans="3:14" ht="17" thickBot="1" x14ac:dyDescent="0.5"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</row>
    <row r="70" spans="3:14" ht="17" thickBot="1" x14ac:dyDescent="0.5"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</row>
    <row r="71" spans="3:14" ht="17" thickBot="1" x14ac:dyDescent="0.5"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</row>
    <row r="72" spans="3:14" ht="17" thickBot="1" x14ac:dyDescent="0.5"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</row>
    <row r="73" spans="3:14" ht="17" thickBot="1" x14ac:dyDescent="0.5"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</row>
    <row r="74" spans="3:14" ht="17" thickBot="1" x14ac:dyDescent="0.5"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</row>
    <row r="75" spans="3:14" ht="17" thickBot="1" x14ac:dyDescent="0.5"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</row>
    <row r="76" spans="3:14" ht="17" thickBot="1" x14ac:dyDescent="0.5"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</row>
    <row r="77" spans="3:14" ht="17" thickBot="1" x14ac:dyDescent="0.5"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</row>
    <row r="78" spans="3:14" ht="17" thickBot="1" x14ac:dyDescent="0.5"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</row>
    <row r="79" spans="3:14" ht="17" thickBot="1" x14ac:dyDescent="0.5"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</row>
    <row r="80" spans="3:14" ht="17" thickBot="1" x14ac:dyDescent="0.5"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</row>
    <row r="81" spans="3:14" ht="17" thickBot="1" x14ac:dyDescent="0.5"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</row>
    <row r="82" spans="3:14" ht="17" thickBot="1" x14ac:dyDescent="0.5"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</row>
    <row r="83" spans="3:14" ht="17" thickBot="1" x14ac:dyDescent="0.5"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</row>
    <row r="84" spans="3:14" ht="17" thickBot="1" x14ac:dyDescent="0.5"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</row>
    <row r="85" spans="3:14" ht="17" thickBot="1" x14ac:dyDescent="0.5"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</row>
    <row r="86" spans="3:14" ht="17" thickBot="1" x14ac:dyDescent="0.5"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</row>
    <row r="87" spans="3:14" ht="17" thickBot="1" x14ac:dyDescent="0.5"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</row>
    <row r="88" spans="3:14" ht="17" thickBot="1" x14ac:dyDescent="0.5"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</row>
    <row r="89" spans="3:14" ht="17" thickBot="1" x14ac:dyDescent="0.5"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</row>
    <row r="90" spans="3:14" ht="17" thickBot="1" x14ac:dyDescent="0.5"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</row>
    <row r="91" spans="3:14" ht="17" thickBot="1" x14ac:dyDescent="0.5"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</row>
    <row r="92" spans="3:14" ht="17" thickBot="1" x14ac:dyDescent="0.5"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</row>
    <row r="93" spans="3:14" ht="17" thickBot="1" x14ac:dyDescent="0.5">
      <c r="C93" s="83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</row>
    <row r="94" spans="3:14" ht="17" thickBot="1" x14ac:dyDescent="0.5"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</row>
    <row r="95" spans="3:14" ht="17" thickBot="1" x14ac:dyDescent="0.5"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</row>
    <row r="96" spans="3:14" ht="17" thickBot="1" x14ac:dyDescent="0.5"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</row>
  </sheetData>
  <conditionalFormatting sqref="C27:I52 J2:N52">
    <cfRule type="cellIs" dxfId="16" priority="75" operator="equal">
      <formula>"Yellow"</formula>
    </cfRule>
    <cfRule type="cellIs" dxfId="15" priority="76" operator="equal">
      <formula>"Blue"</formula>
    </cfRule>
    <cfRule type="cellIs" dxfId="14" priority="77" operator="equal">
      <formula>"Red"</formula>
    </cfRule>
    <cfRule type="cellIs" dxfId="13" priority="78" operator="equal">
      <formula>"Green"</formula>
    </cfRule>
  </conditionalFormatting>
  <conditionalFormatting sqref="C53:I96">
    <cfRule type="cellIs" dxfId="12" priority="63" operator="equal">
      <formula>"Yellow"</formula>
    </cfRule>
    <cfRule type="cellIs" dxfId="11" priority="64" operator="equal">
      <formula>"Blue"</formula>
    </cfRule>
    <cfRule type="cellIs" dxfId="10" priority="65" operator="equal">
      <formula>"Red"</formula>
    </cfRule>
    <cfRule type="cellIs" dxfId="9" priority="66" operator="equal">
      <formula>"Green"</formula>
    </cfRule>
  </conditionalFormatting>
  <conditionalFormatting sqref="J53:N96 C2:I26">
    <cfRule type="cellIs" dxfId="8" priority="57" operator="equal">
      <formula>"Yellow"</formula>
    </cfRule>
    <cfRule type="cellIs" dxfId="7" priority="58" operator="equal">
      <formula>"Blue"</formula>
    </cfRule>
    <cfRule type="cellIs" dxfId="6" priority="59" operator="equal">
      <formula>"Red"</formula>
    </cfRule>
    <cfRule type="cellIs" dxfId="5" priority="60" operator="equal">
      <formula>"Green"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4" operator="containsText" id="{10A44394-3566-415D-A8F4-E7C2371AD24A}">
            <xm:f>NOT(ISERROR(SEARCH("Pink",C2)))</xm:f>
            <xm:f>"Pink"</xm:f>
            <x14:dxf>
              <font>
                <color theme="7" tint="0.79998168889431442"/>
              </font>
              <fill>
                <patternFill patternType="solid">
                  <fgColor indexed="64"/>
                  <bgColor theme="7" tint="0.79998168889431442"/>
                </patternFill>
              </fill>
            </x14:dxf>
          </x14:cfRule>
          <xm:sqref>C27:I52 J2:N52</xm:sqref>
        </x14:conditionalFormatting>
        <x14:conditionalFormatting xmlns:xm="http://schemas.microsoft.com/office/excel/2006/main">
          <x14:cfRule type="containsText" priority="73" operator="containsText" id="{762E7756-BE55-4E87-8ADB-99A0040BF0C0}">
            <xm:f>NOT(ISERROR(SEARCH("Pink",C27)))</xm:f>
            <xm:f>"Pink"</xm:f>
            <x14:dxf>
              <font>
                <color theme="7" tint="0.79998168889431442"/>
              </font>
              <fill>
                <patternFill patternType="solid">
                  <fgColor indexed="64"/>
                  <bgColor theme="7" tint="0.79998168889431442"/>
                </patternFill>
              </fill>
            </x14:dxf>
          </x14:cfRule>
          <xm:sqref>C27:I52</xm:sqref>
        </x14:conditionalFormatting>
        <x14:conditionalFormatting xmlns:xm="http://schemas.microsoft.com/office/excel/2006/main">
          <x14:cfRule type="containsText" priority="62" operator="containsText" id="{4CD2A119-D05D-4738-9266-506912AF5CFB}">
            <xm:f>NOT(ISERROR(SEARCH("Pink",C53)))</xm:f>
            <xm:f>"Pink"</xm:f>
            <x14:dxf>
              <font>
                <color theme="7" tint="0.79998168889431442"/>
              </font>
              <fill>
                <patternFill patternType="solid">
                  <fgColor indexed="64"/>
                  <bgColor theme="7" tint="0.79998168889431442"/>
                </patternFill>
              </fill>
            </x14:dxf>
          </x14:cfRule>
          <xm:sqref>C53:I96</xm:sqref>
        </x14:conditionalFormatting>
        <x14:conditionalFormatting xmlns:xm="http://schemas.microsoft.com/office/excel/2006/main">
          <x14:cfRule type="containsText" priority="61" operator="containsText" id="{A5560E45-397C-41AF-83EF-FD21A0953875}">
            <xm:f>NOT(ISERROR(SEARCH("Pink",C53)))</xm:f>
            <xm:f>"Pink"</xm:f>
            <x14:dxf>
              <font>
                <color theme="7" tint="0.79998168889431442"/>
              </font>
              <fill>
                <patternFill patternType="solid">
                  <fgColor indexed="64"/>
                  <bgColor theme="7" tint="0.79998168889431442"/>
                </patternFill>
              </fill>
            </x14:dxf>
          </x14:cfRule>
          <xm:sqref>C53:I96</xm:sqref>
        </x14:conditionalFormatting>
        <x14:conditionalFormatting xmlns:xm="http://schemas.microsoft.com/office/excel/2006/main">
          <x14:cfRule type="containsText" priority="56" operator="containsText" id="{5009A96E-C5C9-4BC0-8688-6CAC715BB8B2}">
            <xm:f>NOT(ISERROR(SEARCH("Pink",C2)))</xm:f>
            <xm:f>"Pink"</xm:f>
            <x14:dxf>
              <font>
                <color rgb="FFFAB0D5"/>
              </font>
              <fill>
                <patternFill patternType="solid">
                  <fgColor indexed="64"/>
                  <bgColor rgb="FFFAB0D5"/>
                </patternFill>
              </fill>
            </x14:dxf>
          </x14:cfRule>
          <xm:sqref>J53:N96 C2:I26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CB6F0-14EF-4AA6-A143-6FDAB33D8E3F}">
  <sheetPr codeName="Sheet9"/>
  <dimension ref="A1:G83"/>
  <sheetViews>
    <sheetView topLeftCell="A32" zoomScaleNormal="100" workbookViewId="0">
      <selection activeCell="A13" sqref="A13"/>
    </sheetView>
  </sheetViews>
  <sheetFormatPr defaultColWidth="8.75" defaultRowHeight="14.5" x14ac:dyDescent="0.35"/>
  <cols>
    <col min="1" max="1" width="38.25" style="2" customWidth="1"/>
    <col min="2" max="6" width="8.75" style="2"/>
    <col min="7" max="7" width="158.33203125" style="2" customWidth="1"/>
    <col min="8" max="8" width="8.75" style="2"/>
    <col min="9" max="9" width="147.33203125" style="2" customWidth="1"/>
    <col min="10" max="16384" width="8.75" style="2"/>
  </cols>
  <sheetData>
    <row r="1" spans="1:7" x14ac:dyDescent="0.35">
      <c r="A1" s="25" t="s">
        <v>0</v>
      </c>
      <c r="B1" s="10"/>
      <c r="C1" s="10"/>
      <c r="D1" s="10"/>
      <c r="E1" s="1"/>
      <c r="F1" s="11"/>
    </row>
    <row r="2" spans="1:7" x14ac:dyDescent="0.35">
      <c r="A2" s="26"/>
      <c r="B2" s="10"/>
      <c r="C2" s="10"/>
      <c r="D2" s="10"/>
      <c r="E2" s="1"/>
      <c r="F2" s="11"/>
    </row>
    <row r="3" spans="1:7" ht="18.5" x14ac:dyDescent="0.45">
      <c r="A3" s="26" t="s">
        <v>1</v>
      </c>
      <c r="B3" s="10"/>
      <c r="C3" s="10"/>
      <c r="D3" s="10"/>
      <c r="E3" s="1"/>
      <c r="F3" s="11"/>
      <c r="G3" s="14" t="s">
        <v>2</v>
      </c>
    </row>
    <row r="4" spans="1:7" ht="18.5" x14ac:dyDescent="0.45">
      <c r="A4" s="26" t="s">
        <v>3</v>
      </c>
      <c r="B4" s="10"/>
      <c r="C4" s="10"/>
      <c r="D4" s="10"/>
      <c r="E4" s="10"/>
      <c r="F4" s="11"/>
      <c r="G4" s="14" t="s">
        <v>4</v>
      </c>
    </row>
    <row r="5" spans="1:7" ht="18.5" x14ac:dyDescent="0.45">
      <c r="A5" s="26"/>
      <c r="B5" s="10"/>
      <c r="C5" s="10"/>
      <c r="D5" s="10"/>
      <c r="E5" s="10"/>
      <c r="F5" s="11"/>
      <c r="G5" s="14" t="s">
        <v>5</v>
      </c>
    </row>
    <row r="6" spans="1:7" ht="18.5" x14ac:dyDescent="0.45">
      <c r="A6" s="26" t="s">
        <v>6</v>
      </c>
      <c r="B6" s="10"/>
      <c r="C6" s="10"/>
      <c r="D6" s="10"/>
      <c r="E6" s="10"/>
      <c r="F6" s="11"/>
      <c r="G6" s="14" t="s">
        <v>7</v>
      </c>
    </row>
    <row r="7" spans="1:7" ht="18.5" x14ac:dyDescent="0.45">
      <c r="A7" s="26"/>
      <c r="B7" s="10"/>
      <c r="C7" s="10"/>
      <c r="D7" s="10"/>
      <c r="E7" s="10"/>
      <c r="F7" s="11"/>
      <c r="G7" s="14"/>
    </row>
    <row r="8" spans="1:7" ht="18.5" x14ac:dyDescent="0.45">
      <c r="A8" s="25" t="s">
        <v>8</v>
      </c>
      <c r="B8" s="10"/>
      <c r="C8" s="10"/>
      <c r="D8" s="10"/>
      <c r="E8" s="10"/>
      <c r="F8" s="11"/>
      <c r="G8" s="14" t="s">
        <v>9</v>
      </c>
    </row>
    <row r="9" spans="1:7" ht="18.5" x14ac:dyDescent="0.45">
      <c r="A9" s="134" t="s">
        <v>10</v>
      </c>
      <c r="B9" s="135" t="s">
        <v>11</v>
      </c>
      <c r="C9" s="10"/>
      <c r="D9" s="10"/>
      <c r="E9" s="10"/>
      <c r="F9" s="11"/>
      <c r="G9" s="24"/>
    </row>
    <row r="10" spans="1:7" ht="18.5" x14ac:dyDescent="0.45">
      <c r="A10" s="134" t="s">
        <v>13</v>
      </c>
      <c r="B10" s="135" t="s">
        <v>14</v>
      </c>
      <c r="C10" s="10"/>
      <c r="D10" s="10"/>
      <c r="E10" s="10"/>
      <c r="F10" s="11"/>
      <c r="G10" s="24"/>
    </row>
    <row r="11" spans="1:7" x14ac:dyDescent="0.35">
      <c r="A11" s="10"/>
      <c r="B11" s="10"/>
      <c r="C11" s="10"/>
      <c r="D11" s="10"/>
      <c r="E11" s="10"/>
      <c r="F11" s="11"/>
    </row>
    <row r="12" spans="1:7" x14ac:dyDescent="0.35">
      <c r="A12" s="25" t="s">
        <v>15</v>
      </c>
      <c r="B12" s="9"/>
      <c r="C12" s="10"/>
      <c r="D12" s="10"/>
      <c r="E12" s="10"/>
      <c r="F12" s="11"/>
    </row>
    <row r="13" spans="1:7" x14ac:dyDescent="0.35">
      <c r="A13" s="134" t="s">
        <v>16</v>
      </c>
      <c r="B13" s="135" t="s">
        <v>17</v>
      </c>
      <c r="C13" s="10"/>
      <c r="D13" s="134" t="s">
        <v>18</v>
      </c>
      <c r="E13" s="135" t="s">
        <v>17</v>
      </c>
      <c r="F13" s="11"/>
    </row>
    <row r="14" spans="1:7" x14ac:dyDescent="0.35">
      <c r="A14" s="134" t="s">
        <v>19</v>
      </c>
      <c r="B14" s="135" t="s">
        <v>17</v>
      </c>
      <c r="C14" s="10"/>
      <c r="D14" s="134" t="s">
        <v>20</v>
      </c>
      <c r="E14" s="135" t="s">
        <v>17</v>
      </c>
      <c r="F14" s="11"/>
    </row>
    <row r="15" spans="1:7" x14ac:dyDescent="0.35">
      <c r="A15" s="10"/>
      <c r="B15" s="10"/>
      <c r="C15" s="10"/>
      <c r="D15" s="10"/>
      <c r="E15" s="10"/>
      <c r="F15" s="11"/>
    </row>
    <row r="16" spans="1:7" x14ac:dyDescent="0.35">
      <c r="A16" s="10"/>
      <c r="B16" s="10"/>
      <c r="C16" s="10"/>
      <c r="D16" s="10"/>
      <c r="E16" s="10"/>
      <c r="F16" s="11"/>
    </row>
    <row r="17" spans="1:6" x14ac:dyDescent="0.35">
      <c r="A17" s="10"/>
      <c r="B17" s="10"/>
      <c r="C17" s="10"/>
      <c r="D17" s="10"/>
      <c r="E17" s="10"/>
      <c r="F17" s="11"/>
    </row>
    <row r="18" spans="1:6" x14ac:dyDescent="0.35">
      <c r="A18" s="10"/>
      <c r="B18" s="3" t="s">
        <v>21</v>
      </c>
      <c r="C18" s="4" t="s">
        <v>22</v>
      </c>
      <c r="D18" s="5" t="s">
        <v>23</v>
      </c>
      <c r="E18" s="5" t="s">
        <v>24</v>
      </c>
      <c r="F18" s="5" t="s">
        <v>25</v>
      </c>
    </row>
    <row r="19" spans="1:6" ht="16.5" x14ac:dyDescent="0.45">
      <c r="A19" s="19"/>
      <c r="B19" s="20"/>
      <c r="C19" s="20"/>
      <c r="D19" s="6" t="e">
        <f>B72</f>
        <v>#DIV/0!</v>
      </c>
      <c r="E19" s="7" t="e">
        <f>C72</f>
        <v>#DIV/0!</v>
      </c>
      <c r="F19" s="12" t="e">
        <f>IF(AND(B19&lt;D19,C19&lt;E19),"Blue",(IF(AND(B19&lt;D19,C19&gt;E19),"Red",(IF(AND(B19&gt;D19,C19&gt;E19),"Green",(IF(AND(B19&gt;D19,C19&lt;E19),"Yellow")))))))</f>
        <v>#DIV/0!</v>
      </c>
    </row>
    <row r="20" spans="1:6" ht="16.5" x14ac:dyDescent="0.45">
      <c r="A20" s="19"/>
      <c r="B20" s="20"/>
      <c r="C20" s="20"/>
      <c r="D20" s="6" t="e">
        <f>B72</f>
        <v>#DIV/0!</v>
      </c>
      <c r="E20" s="7" t="e">
        <f>C72</f>
        <v>#DIV/0!</v>
      </c>
      <c r="F20" s="12" t="e">
        <f t="shared" ref="F20:F68" si="0">IF(AND(B20&lt;D20,C20&lt;E20),"Blue",(IF(AND(B20&lt;D20,C20&gt;E20),"Red",(IF(AND(B20&gt;D20,C20&gt;E20),"Green",(IF(AND(B20&gt;D20,C20&lt;E20),"Yellow")))))))</f>
        <v>#DIV/0!</v>
      </c>
    </row>
    <row r="21" spans="1:6" ht="16.5" x14ac:dyDescent="0.45">
      <c r="A21" s="19"/>
      <c r="B21" s="20"/>
      <c r="C21" s="20"/>
      <c r="D21" s="6" t="e">
        <f>B72</f>
        <v>#DIV/0!</v>
      </c>
      <c r="E21" s="7" t="e">
        <f>C72</f>
        <v>#DIV/0!</v>
      </c>
      <c r="F21" s="12" t="e">
        <f t="shared" si="0"/>
        <v>#DIV/0!</v>
      </c>
    </row>
    <row r="22" spans="1:6" ht="16.5" x14ac:dyDescent="0.45">
      <c r="A22" s="19"/>
      <c r="B22" s="20"/>
      <c r="C22" s="20"/>
      <c r="D22" s="6" t="e">
        <f>B72</f>
        <v>#DIV/0!</v>
      </c>
      <c r="E22" s="7" t="e">
        <f>C72</f>
        <v>#DIV/0!</v>
      </c>
      <c r="F22" s="12" t="e">
        <f t="shared" si="0"/>
        <v>#DIV/0!</v>
      </c>
    </row>
    <row r="23" spans="1:6" ht="16.5" x14ac:dyDescent="0.45">
      <c r="A23" s="19"/>
      <c r="B23" s="20"/>
      <c r="C23" s="20"/>
      <c r="D23" s="6" t="e">
        <f>B72</f>
        <v>#DIV/0!</v>
      </c>
      <c r="E23" s="7" t="e">
        <f>C72</f>
        <v>#DIV/0!</v>
      </c>
      <c r="F23" s="12" t="e">
        <f>IF(AND(B23&lt;D23,C23&lt;E23),"Blue",(IF(AND(B23&lt;D23,C23&gt;E23),"Red",(IF(AND(B23&gt;D23,C23&gt;E23),"Green",(IF(AND(B23&gt;D23,C23&lt;E23),"Yellow")))))))</f>
        <v>#DIV/0!</v>
      </c>
    </row>
    <row r="24" spans="1:6" ht="16.5" x14ac:dyDescent="0.45">
      <c r="A24" s="19"/>
      <c r="B24" s="20"/>
      <c r="C24" s="20"/>
      <c r="D24" s="6" t="e">
        <f>B72</f>
        <v>#DIV/0!</v>
      </c>
      <c r="E24" s="7" t="e">
        <f>C72</f>
        <v>#DIV/0!</v>
      </c>
      <c r="F24" s="12" t="e">
        <f t="shared" si="0"/>
        <v>#DIV/0!</v>
      </c>
    </row>
    <row r="25" spans="1:6" ht="16.5" x14ac:dyDescent="0.45">
      <c r="A25" s="19"/>
      <c r="B25" s="20"/>
      <c r="C25" s="20"/>
      <c r="D25" s="6" t="e">
        <f>B72</f>
        <v>#DIV/0!</v>
      </c>
      <c r="E25" s="7" t="e">
        <f>C72</f>
        <v>#DIV/0!</v>
      </c>
      <c r="F25" s="12" t="e">
        <f t="shared" si="0"/>
        <v>#DIV/0!</v>
      </c>
    </row>
    <row r="26" spans="1:6" ht="16.5" x14ac:dyDescent="0.45">
      <c r="A26" s="19"/>
      <c r="B26" s="20"/>
      <c r="C26" s="20"/>
      <c r="D26" s="6" t="e">
        <f>B72</f>
        <v>#DIV/0!</v>
      </c>
      <c r="E26" s="7" t="e">
        <f>C72</f>
        <v>#DIV/0!</v>
      </c>
      <c r="F26" s="12" t="e">
        <f t="shared" si="0"/>
        <v>#DIV/0!</v>
      </c>
    </row>
    <row r="27" spans="1:6" ht="16.5" x14ac:dyDescent="0.45">
      <c r="A27" s="19"/>
      <c r="B27" s="20"/>
      <c r="C27" s="20"/>
      <c r="D27" s="6" t="e">
        <f>B72</f>
        <v>#DIV/0!</v>
      </c>
      <c r="E27" s="7" t="e">
        <f>C72</f>
        <v>#DIV/0!</v>
      </c>
      <c r="F27" s="12" t="e">
        <f t="shared" si="0"/>
        <v>#DIV/0!</v>
      </c>
    </row>
    <row r="28" spans="1:6" ht="16.5" x14ac:dyDescent="0.45">
      <c r="A28" s="19"/>
      <c r="B28" s="20"/>
      <c r="C28" s="20"/>
      <c r="D28" s="6" t="e">
        <f>B72</f>
        <v>#DIV/0!</v>
      </c>
      <c r="E28" s="7" t="e">
        <f>C72</f>
        <v>#DIV/0!</v>
      </c>
      <c r="F28" s="12" t="e">
        <f t="shared" si="0"/>
        <v>#DIV/0!</v>
      </c>
    </row>
    <row r="29" spans="1:6" ht="16.5" x14ac:dyDescent="0.45">
      <c r="A29" s="19"/>
      <c r="B29" s="20"/>
      <c r="C29" s="20"/>
      <c r="D29" s="6" t="e">
        <f>B72</f>
        <v>#DIV/0!</v>
      </c>
      <c r="E29" s="7" t="e">
        <f>C72</f>
        <v>#DIV/0!</v>
      </c>
      <c r="F29" s="12" t="e">
        <f t="shared" si="0"/>
        <v>#DIV/0!</v>
      </c>
    </row>
    <row r="30" spans="1:6" ht="16.5" x14ac:dyDescent="0.45">
      <c r="A30" s="19"/>
      <c r="B30" s="20"/>
      <c r="C30" s="20"/>
      <c r="D30" s="6" t="e">
        <f>B72</f>
        <v>#DIV/0!</v>
      </c>
      <c r="E30" s="7" t="e">
        <f>C72</f>
        <v>#DIV/0!</v>
      </c>
      <c r="F30" s="12" t="e">
        <f t="shared" si="0"/>
        <v>#DIV/0!</v>
      </c>
    </row>
    <row r="31" spans="1:6" ht="16.5" x14ac:dyDescent="0.45">
      <c r="A31" s="19"/>
      <c r="B31" s="20"/>
      <c r="C31" s="20"/>
      <c r="D31" s="6" t="e">
        <f>B72</f>
        <v>#DIV/0!</v>
      </c>
      <c r="E31" s="7" t="e">
        <f>C72</f>
        <v>#DIV/0!</v>
      </c>
      <c r="F31" s="12" t="e">
        <f t="shared" si="0"/>
        <v>#DIV/0!</v>
      </c>
    </row>
    <row r="32" spans="1:6" ht="16.5" x14ac:dyDescent="0.45">
      <c r="A32" s="19"/>
      <c r="B32" s="20"/>
      <c r="C32" s="20"/>
      <c r="D32" s="6" t="e">
        <f>B72</f>
        <v>#DIV/0!</v>
      </c>
      <c r="E32" s="7" t="e">
        <f>C72</f>
        <v>#DIV/0!</v>
      </c>
      <c r="F32" s="12" t="e">
        <f t="shared" si="0"/>
        <v>#DIV/0!</v>
      </c>
    </row>
    <row r="33" spans="1:6" ht="16.5" x14ac:dyDescent="0.45">
      <c r="A33" s="19"/>
      <c r="B33" s="20"/>
      <c r="C33" s="20"/>
      <c r="D33" s="6" t="e">
        <f>B72</f>
        <v>#DIV/0!</v>
      </c>
      <c r="E33" s="7" t="e">
        <f>C72</f>
        <v>#DIV/0!</v>
      </c>
      <c r="F33" s="12" t="e">
        <f t="shared" si="0"/>
        <v>#DIV/0!</v>
      </c>
    </row>
    <row r="34" spans="1:6" ht="16.5" x14ac:dyDescent="0.45">
      <c r="A34" s="19"/>
      <c r="B34" s="20"/>
      <c r="C34" s="20"/>
      <c r="D34" s="6" t="e">
        <f>B72</f>
        <v>#DIV/0!</v>
      </c>
      <c r="E34" s="7" t="e">
        <f>C72</f>
        <v>#DIV/0!</v>
      </c>
      <c r="F34" s="12" t="e">
        <f t="shared" si="0"/>
        <v>#DIV/0!</v>
      </c>
    </row>
    <row r="35" spans="1:6" ht="16.5" x14ac:dyDescent="0.45">
      <c r="A35" s="19"/>
      <c r="B35" s="20"/>
      <c r="C35" s="20"/>
      <c r="D35" s="6" t="e">
        <f>B72</f>
        <v>#DIV/0!</v>
      </c>
      <c r="E35" s="7" t="e">
        <f>C72</f>
        <v>#DIV/0!</v>
      </c>
      <c r="F35" s="12" t="e">
        <f t="shared" si="0"/>
        <v>#DIV/0!</v>
      </c>
    </row>
    <row r="36" spans="1:6" ht="16.5" x14ac:dyDescent="0.45">
      <c r="A36" s="19"/>
      <c r="B36" s="20"/>
      <c r="C36" s="20"/>
      <c r="D36" s="6" t="e">
        <f>B72</f>
        <v>#DIV/0!</v>
      </c>
      <c r="E36" s="7" t="e">
        <f>C72</f>
        <v>#DIV/0!</v>
      </c>
      <c r="F36" s="12" t="e">
        <f t="shared" si="0"/>
        <v>#DIV/0!</v>
      </c>
    </row>
    <row r="37" spans="1:6" ht="16.5" x14ac:dyDescent="0.45">
      <c r="A37" s="19"/>
      <c r="B37" s="20"/>
      <c r="C37" s="20"/>
      <c r="D37" s="6" t="e">
        <f>B72</f>
        <v>#DIV/0!</v>
      </c>
      <c r="E37" s="7" t="e">
        <f>C72</f>
        <v>#DIV/0!</v>
      </c>
      <c r="F37" s="12" t="e">
        <f t="shared" si="0"/>
        <v>#DIV/0!</v>
      </c>
    </row>
    <row r="38" spans="1:6" ht="16.5" x14ac:dyDescent="0.45">
      <c r="A38" s="19"/>
      <c r="B38" s="20"/>
      <c r="C38" s="20"/>
      <c r="D38" s="6" t="e">
        <f>B72</f>
        <v>#DIV/0!</v>
      </c>
      <c r="E38" s="7" t="e">
        <f>C72</f>
        <v>#DIV/0!</v>
      </c>
      <c r="F38" s="12" t="e">
        <f t="shared" si="0"/>
        <v>#DIV/0!</v>
      </c>
    </row>
    <row r="39" spans="1:6" ht="16.5" x14ac:dyDescent="0.45">
      <c r="A39" s="19"/>
      <c r="B39" s="20"/>
      <c r="C39" s="20"/>
      <c r="D39" s="6" t="e">
        <f>B72</f>
        <v>#DIV/0!</v>
      </c>
      <c r="E39" s="7" t="e">
        <f>C72</f>
        <v>#DIV/0!</v>
      </c>
      <c r="F39" s="12" t="e">
        <f t="shared" si="0"/>
        <v>#DIV/0!</v>
      </c>
    </row>
    <row r="40" spans="1:6" ht="16.5" x14ac:dyDescent="0.45">
      <c r="A40" s="19"/>
      <c r="B40" s="20"/>
      <c r="C40" s="20"/>
      <c r="D40" s="6" t="e">
        <f>B72</f>
        <v>#DIV/0!</v>
      </c>
      <c r="E40" s="7" t="e">
        <f>C72</f>
        <v>#DIV/0!</v>
      </c>
      <c r="F40" s="12" t="e">
        <f t="shared" si="0"/>
        <v>#DIV/0!</v>
      </c>
    </row>
    <row r="41" spans="1:6" ht="16.5" x14ac:dyDescent="0.45">
      <c r="A41" s="19"/>
      <c r="B41" s="20"/>
      <c r="C41" s="20"/>
      <c r="D41" s="6" t="e">
        <f>B72</f>
        <v>#DIV/0!</v>
      </c>
      <c r="E41" s="7" t="e">
        <f>C72</f>
        <v>#DIV/0!</v>
      </c>
      <c r="F41" s="12" t="e">
        <f t="shared" si="0"/>
        <v>#DIV/0!</v>
      </c>
    </row>
    <row r="42" spans="1:6" ht="16.5" x14ac:dyDescent="0.45">
      <c r="A42" s="19"/>
      <c r="B42" s="20"/>
      <c r="C42" s="20"/>
      <c r="D42" s="6" t="e">
        <f>B72</f>
        <v>#DIV/0!</v>
      </c>
      <c r="E42" s="7" t="e">
        <f>C72</f>
        <v>#DIV/0!</v>
      </c>
      <c r="F42" s="12" t="e">
        <f t="shared" si="0"/>
        <v>#DIV/0!</v>
      </c>
    </row>
    <row r="43" spans="1:6" ht="16.5" x14ac:dyDescent="0.45">
      <c r="A43" s="19"/>
      <c r="B43" s="20"/>
      <c r="C43" s="20"/>
      <c r="D43" s="6" t="e">
        <f>B72</f>
        <v>#DIV/0!</v>
      </c>
      <c r="E43" s="7" t="e">
        <f>C72</f>
        <v>#DIV/0!</v>
      </c>
      <c r="F43" s="12" t="e">
        <f t="shared" si="0"/>
        <v>#DIV/0!</v>
      </c>
    </row>
    <row r="44" spans="1:6" ht="16.5" x14ac:dyDescent="0.45">
      <c r="A44" s="19"/>
      <c r="B44" s="20"/>
      <c r="C44" s="20"/>
      <c r="D44" s="6" t="e">
        <f>B72</f>
        <v>#DIV/0!</v>
      </c>
      <c r="E44" s="7" t="e">
        <f>C72</f>
        <v>#DIV/0!</v>
      </c>
      <c r="F44" s="12" t="e">
        <f t="shared" si="0"/>
        <v>#DIV/0!</v>
      </c>
    </row>
    <row r="45" spans="1:6" ht="16.5" x14ac:dyDescent="0.45">
      <c r="A45" s="19"/>
      <c r="B45" s="20"/>
      <c r="C45" s="20"/>
      <c r="D45" s="6" t="e">
        <f>B72</f>
        <v>#DIV/0!</v>
      </c>
      <c r="E45" s="7" t="e">
        <f>C72</f>
        <v>#DIV/0!</v>
      </c>
      <c r="F45" s="12" t="e">
        <f t="shared" si="0"/>
        <v>#DIV/0!</v>
      </c>
    </row>
    <row r="46" spans="1:6" ht="16.5" x14ac:dyDescent="0.45">
      <c r="A46" s="19"/>
      <c r="B46" s="20"/>
      <c r="C46" s="20"/>
      <c r="D46" s="6" t="e">
        <f>B72</f>
        <v>#DIV/0!</v>
      </c>
      <c r="E46" s="7" t="e">
        <f>C72</f>
        <v>#DIV/0!</v>
      </c>
      <c r="F46" s="12" t="e">
        <f t="shared" si="0"/>
        <v>#DIV/0!</v>
      </c>
    </row>
    <row r="47" spans="1:6" ht="16.5" x14ac:dyDescent="0.45">
      <c r="A47" s="19"/>
      <c r="B47" s="20"/>
      <c r="C47" s="20"/>
      <c r="D47" s="6" t="e">
        <f>B72</f>
        <v>#DIV/0!</v>
      </c>
      <c r="E47" s="7" t="e">
        <f>C72</f>
        <v>#DIV/0!</v>
      </c>
      <c r="F47" s="12" t="e">
        <f t="shared" si="0"/>
        <v>#DIV/0!</v>
      </c>
    </row>
    <row r="48" spans="1:6" ht="16.5" x14ac:dyDescent="0.45">
      <c r="A48" s="19"/>
      <c r="B48" s="20"/>
      <c r="C48" s="20"/>
      <c r="D48" s="6" t="e">
        <f>B72</f>
        <v>#DIV/0!</v>
      </c>
      <c r="E48" s="7" t="e">
        <f>C72</f>
        <v>#DIV/0!</v>
      </c>
      <c r="F48" s="12" t="e">
        <f t="shared" si="0"/>
        <v>#DIV/0!</v>
      </c>
    </row>
    <row r="49" spans="1:6" ht="16.5" x14ac:dyDescent="0.45">
      <c r="A49" s="19"/>
      <c r="B49" s="20"/>
      <c r="C49" s="20"/>
      <c r="D49" s="6" t="e">
        <f>B72</f>
        <v>#DIV/0!</v>
      </c>
      <c r="E49" s="7" t="e">
        <f>C72</f>
        <v>#DIV/0!</v>
      </c>
      <c r="F49" s="12" t="e">
        <f t="shared" si="0"/>
        <v>#DIV/0!</v>
      </c>
    </row>
    <row r="50" spans="1:6" ht="16.5" x14ac:dyDescent="0.45">
      <c r="A50" s="19"/>
      <c r="B50" s="20"/>
      <c r="C50" s="20"/>
      <c r="D50" s="6" t="e">
        <f>B72</f>
        <v>#DIV/0!</v>
      </c>
      <c r="E50" s="7" t="e">
        <f>C72</f>
        <v>#DIV/0!</v>
      </c>
      <c r="F50" s="12" t="e">
        <f t="shared" si="0"/>
        <v>#DIV/0!</v>
      </c>
    </row>
    <row r="51" spans="1:6" ht="16.5" x14ac:dyDescent="0.45">
      <c r="A51" s="19"/>
      <c r="B51" s="20"/>
      <c r="C51" s="20"/>
      <c r="D51" s="6" t="e">
        <f>B72</f>
        <v>#DIV/0!</v>
      </c>
      <c r="E51" s="7" t="e">
        <f>C72</f>
        <v>#DIV/0!</v>
      </c>
      <c r="F51" s="12" t="e">
        <f t="shared" si="0"/>
        <v>#DIV/0!</v>
      </c>
    </row>
    <row r="52" spans="1:6" ht="16.5" x14ac:dyDescent="0.45">
      <c r="A52" s="19"/>
      <c r="B52" s="20"/>
      <c r="C52" s="20"/>
      <c r="D52" s="6" t="e">
        <f>B72</f>
        <v>#DIV/0!</v>
      </c>
      <c r="E52" s="7" t="e">
        <f>C72</f>
        <v>#DIV/0!</v>
      </c>
      <c r="F52" s="12" t="e">
        <f t="shared" si="0"/>
        <v>#DIV/0!</v>
      </c>
    </row>
    <row r="53" spans="1:6" ht="16.5" x14ac:dyDescent="0.45">
      <c r="A53" s="19"/>
      <c r="B53" s="20"/>
      <c r="C53" s="20"/>
      <c r="D53" s="6" t="e">
        <f>B72</f>
        <v>#DIV/0!</v>
      </c>
      <c r="E53" s="7" t="e">
        <f>C72</f>
        <v>#DIV/0!</v>
      </c>
      <c r="F53" s="12" t="e">
        <f t="shared" si="0"/>
        <v>#DIV/0!</v>
      </c>
    </row>
    <row r="54" spans="1:6" x14ac:dyDescent="0.35">
      <c r="A54" s="21"/>
      <c r="B54" s="22"/>
      <c r="C54" s="23"/>
      <c r="D54" s="6" t="e">
        <f>B72</f>
        <v>#DIV/0!</v>
      </c>
      <c r="E54" s="7" t="e">
        <f>C72</f>
        <v>#DIV/0!</v>
      </c>
      <c r="F54" s="12" t="e">
        <f t="shared" si="0"/>
        <v>#DIV/0!</v>
      </c>
    </row>
    <row r="55" spans="1:6" x14ac:dyDescent="0.35">
      <c r="A55" s="21"/>
      <c r="B55" s="22"/>
      <c r="C55" s="23"/>
      <c r="D55" s="6" t="e">
        <f>B72</f>
        <v>#DIV/0!</v>
      </c>
      <c r="E55" s="7" t="e">
        <f>C72</f>
        <v>#DIV/0!</v>
      </c>
      <c r="F55" s="12" t="e">
        <f t="shared" si="0"/>
        <v>#DIV/0!</v>
      </c>
    </row>
    <row r="56" spans="1:6" x14ac:dyDescent="0.35">
      <c r="A56" s="21"/>
      <c r="B56" s="22"/>
      <c r="C56" s="23"/>
      <c r="D56" s="6" t="e">
        <f>B72</f>
        <v>#DIV/0!</v>
      </c>
      <c r="E56" s="7" t="e">
        <f>C72</f>
        <v>#DIV/0!</v>
      </c>
      <c r="F56" s="12" t="e">
        <f t="shared" si="0"/>
        <v>#DIV/0!</v>
      </c>
    </row>
    <row r="57" spans="1:6" x14ac:dyDescent="0.35">
      <c r="A57" s="21"/>
      <c r="B57" s="22"/>
      <c r="C57" s="23"/>
      <c r="D57" s="6" t="e">
        <f>B72</f>
        <v>#DIV/0!</v>
      </c>
      <c r="E57" s="7" t="e">
        <f>C72</f>
        <v>#DIV/0!</v>
      </c>
      <c r="F57" s="12" t="e">
        <f t="shared" si="0"/>
        <v>#DIV/0!</v>
      </c>
    </row>
    <row r="58" spans="1:6" x14ac:dyDescent="0.35">
      <c r="A58" s="21"/>
      <c r="B58" s="22"/>
      <c r="C58" s="23"/>
      <c r="D58" s="6" t="e">
        <f>B72</f>
        <v>#DIV/0!</v>
      </c>
      <c r="E58" s="7" t="e">
        <f>C72</f>
        <v>#DIV/0!</v>
      </c>
      <c r="F58" s="12" t="e">
        <f t="shared" si="0"/>
        <v>#DIV/0!</v>
      </c>
    </row>
    <row r="59" spans="1:6" x14ac:dyDescent="0.35">
      <c r="A59" s="21"/>
      <c r="B59" s="22"/>
      <c r="C59" s="23"/>
      <c r="D59" s="6" t="e">
        <f>B72</f>
        <v>#DIV/0!</v>
      </c>
      <c r="E59" s="7" t="e">
        <f>C72</f>
        <v>#DIV/0!</v>
      </c>
      <c r="F59" s="12" t="e">
        <f t="shared" si="0"/>
        <v>#DIV/0!</v>
      </c>
    </row>
    <row r="60" spans="1:6" x14ac:dyDescent="0.35">
      <c r="A60" s="21"/>
      <c r="B60" s="22"/>
      <c r="C60" s="23"/>
      <c r="D60" s="6" t="e">
        <f>B72</f>
        <v>#DIV/0!</v>
      </c>
      <c r="E60" s="7" t="e">
        <f>C72</f>
        <v>#DIV/0!</v>
      </c>
      <c r="F60" s="12" t="e">
        <f t="shared" si="0"/>
        <v>#DIV/0!</v>
      </c>
    </row>
    <row r="61" spans="1:6" x14ac:dyDescent="0.35">
      <c r="A61" s="21"/>
      <c r="B61" s="22"/>
      <c r="C61" s="23"/>
      <c r="D61" s="6" t="e">
        <f>B72</f>
        <v>#DIV/0!</v>
      </c>
      <c r="E61" s="7" t="e">
        <f>C72</f>
        <v>#DIV/0!</v>
      </c>
      <c r="F61" s="12" t="e">
        <f t="shared" si="0"/>
        <v>#DIV/0!</v>
      </c>
    </row>
    <row r="62" spans="1:6" x14ac:dyDescent="0.35">
      <c r="A62" s="21"/>
      <c r="B62" s="22"/>
      <c r="C62" s="23"/>
      <c r="D62" s="6" t="e">
        <f>B72</f>
        <v>#DIV/0!</v>
      </c>
      <c r="E62" s="7" t="e">
        <f>C72</f>
        <v>#DIV/0!</v>
      </c>
      <c r="F62" s="12" t="e">
        <f t="shared" si="0"/>
        <v>#DIV/0!</v>
      </c>
    </row>
    <row r="63" spans="1:6" x14ac:dyDescent="0.35">
      <c r="A63" s="21"/>
      <c r="B63" s="22"/>
      <c r="C63" s="23"/>
      <c r="D63" s="6" t="e">
        <f>B72</f>
        <v>#DIV/0!</v>
      </c>
      <c r="E63" s="7" t="e">
        <f>C72</f>
        <v>#DIV/0!</v>
      </c>
      <c r="F63" s="12" t="e">
        <f t="shared" si="0"/>
        <v>#DIV/0!</v>
      </c>
    </row>
    <row r="64" spans="1:6" x14ac:dyDescent="0.35">
      <c r="A64" s="21"/>
      <c r="B64" s="22"/>
      <c r="C64" s="23"/>
      <c r="D64" s="6" t="e">
        <f>B72</f>
        <v>#DIV/0!</v>
      </c>
      <c r="E64" s="7" t="e">
        <f>C72</f>
        <v>#DIV/0!</v>
      </c>
      <c r="F64" s="12" t="e">
        <f t="shared" si="0"/>
        <v>#DIV/0!</v>
      </c>
    </row>
    <row r="65" spans="1:6" x14ac:dyDescent="0.35">
      <c r="A65" s="21"/>
      <c r="B65" s="22"/>
      <c r="C65" s="23"/>
      <c r="D65" s="6" t="e">
        <f>B72</f>
        <v>#DIV/0!</v>
      </c>
      <c r="E65" s="7" t="e">
        <f>C72</f>
        <v>#DIV/0!</v>
      </c>
      <c r="F65" s="12" t="e">
        <f t="shared" si="0"/>
        <v>#DIV/0!</v>
      </c>
    </row>
    <row r="66" spans="1:6" x14ac:dyDescent="0.35">
      <c r="A66" s="21"/>
      <c r="B66" s="22"/>
      <c r="C66" s="23"/>
      <c r="D66" s="6" t="e">
        <f>B72</f>
        <v>#DIV/0!</v>
      </c>
      <c r="E66" s="7" t="e">
        <f>C72</f>
        <v>#DIV/0!</v>
      </c>
      <c r="F66" s="12" t="e">
        <f t="shared" si="0"/>
        <v>#DIV/0!</v>
      </c>
    </row>
    <row r="67" spans="1:6" x14ac:dyDescent="0.35">
      <c r="A67" s="21"/>
      <c r="B67" s="22"/>
      <c r="C67" s="23"/>
      <c r="D67" s="6" t="e">
        <f>B72</f>
        <v>#DIV/0!</v>
      </c>
      <c r="E67" s="7" t="e">
        <f>C72</f>
        <v>#DIV/0!</v>
      </c>
      <c r="F67" s="12" t="e">
        <f t="shared" si="0"/>
        <v>#DIV/0!</v>
      </c>
    </row>
    <row r="68" spans="1:6" x14ac:dyDescent="0.35">
      <c r="A68" s="21"/>
      <c r="B68" s="22"/>
      <c r="C68" s="23"/>
      <c r="D68" s="6" t="e">
        <f>B72</f>
        <v>#DIV/0!</v>
      </c>
      <c r="E68" s="7" t="e">
        <f>C72</f>
        <v>#DIV/0!</v>
      </c>
      <c r="F68" s="12" t="e">
        <f t="shared" si="0"/>
        <v>#DIV/0!</v>
      </c>
    </row>
    <row r="69" spans="1:6" x14ac:dyDescent="0.35">
      <c r="A69" s="15"/>
      <c r="B69" s="16"/>
      <c r="C69" s="17"/>
      <c r="D69" s="6"/>
      <c r="E69" s="7"/>
      <c r="F69" s="18"/>
    </row>
    <row r="70" spans="1:6" x14ac:dyDescent="0.35">
      <c r="A70" s="15"/>
      <c r="B70" s="16"/>
      <c r="C70" s="17"/>
      <c r="D70" s="6"/>
      <c r="E70" s="7"/>
      <c r="F70" s="18"/>
    </row>
    <row r="71" spans="1:6" x14ac:dyDescent="0.35">
      <c r="A71" s="15"/>
      <c r="B71" s="16"/>
      <c r="C71" s="17"/>
      <c r="D71" s="6"/>
      <c r="E71" s="7"/>
      <c r="F71" s="18"/>
    </row>
    <row r="72" spans="1:6" x14ac:dyDescent="0.35">
      <c r="A72" s="13" t="s">
        <v>26</v>
      </c>
      <c r="B72" s="8" t="e">
        <f>AVERAGE(B19:B68)</f>
        <v>#DIV/0!</v>
      </c>
      <c r="C72" s="8" t="e">
        <f>AVERAGE(C19:C68)</f>
        <v>#DIV/0!</v>
      </c>
      <c r="D72" s="6"/>
      <c r="E72" s="7"/>
    </row>
    <row r="73" spans="1:6" x14ac:dyDescent="0.35">
      <c r="A73" s="13" t="s">
        <v>27</v>
      </c>
      <c r="B73" s="8" t="e">
        <f>B72-1.1*(MAX(MAX(B19:B68)-B72,B72-MIN(B19:B35)))</f>
        <v>#DIV/0!</v>
      </c>
      <c r="C73" s="8" t="e">
        <f>C72-1.18*(MAX(MAX(C19:C68)-C72,C72-MIN(C19:C35)))</f>
        <v>#DIV/0!</v>
      </c>
      <c r="D73" s="6"/>
    </row>
    <row r="74" spans="1:6" x14ac:dyDescent="0.35">
      <c r="A74" s="13" t="s">
        <v>28</v>
      </c>
      <c r="B74" s="8" t="e">
        <f>B72+1.1*(MAX(MAX(B19:B68)-B72,B72-MIN(B19:B35)))</f>
        <v>#DIV/0!</v>
      </c>
      <c r="C74" s="8" t="e">
        <f>C72+1.18*(MAX(MAX(C19:C68)-C72,C72-MIN(C19:C35)))</f>
        <v>#DIV/0!</v>
      </c>
      <c r="D74" s="6"/>
    </row>
    <row r="75" spans="1:6" x14ac:dyDescent="0.35">
      <c r="D75" s="6"/>
    </row>
    <row r="76" spans="1:6" x14ac:dyDescent="0.35">
      <c r="B76" s="10"/>
      <c r="C76" s="10"/>
      <c r="D76" s="10"/>
    </row>
    <row r="77" spans="1:6" x14ac:dyDescent="0.35">
      <c r="B77" s="10"/>
      <c r="C77" s="10"/>
      <c r="D77" s="10"/>
    </row>
    <row r="78" spans="1:6" x14ac:dyDescent="0.35">
      <c r="D78" s="6"/>
    </row>
    <row r="79" spans="1:6" x14ac:dyDescent="0.35">
      <c r="D79" s="6"/>
    </row>
    <row r="80" spans="1:6" x14ac:dyDescent="0.35">
      <c r="D80" s="6"/>
    </row>
    <row r="81" spans="4:4" x14ac:dyDescent="0.35">
      <c r="D81" s="6"/>
    </row>
    <row r="82" spans="4:4" x14ac:dyDescent="0.35">
      <c r="D82" s="6"/>
    </row>
    <row r="83" spans="4:4" x14ac:dyDescent="0.35">
      <c r="D83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6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08EC-F701-4C76-8660-71B1E9339B72}">
  <sheetPr codeName="Sheet10"/>
  <dimension ref="A1:G83"/>
  <sheetViews>
    <sheetView topLeftCell="A32" zoomScaleNormal="100" workbookViewId="0">
      <selection activeCell="A13" sqref="A13"/>
    </sheetView>
  </sheetViews>
  <sheetFormatPr defaultColWidth="8.75" defaultRowHeight="14.5" x14ac:dyDescent="0.35"/>
  <cols>
    <col min="1" max="1" width="38.25" style="2" customWidth="1"/>
    <col min="2" max="6" width="8.75" style="2"/>
    <col min="7" max="7" width="158.33203125" style="2" customWidth="1"/>
    <col min="8" max="8" width="8.75" style="2"/>
    <col min="9" max="9" width="147.33203125" style="2" customWidth="1"/>
    <col min="10" max="16384" width="8.75" style="2"/>
  </cols>
  <sheetData>
    <row r="1" spans="1:7" x14ac:dyDescent="0.35">
      <c r="A1" s="25" t="s">
        <v>0</v>
      </c>
      <c r="B1" s="10"/>
      <c r="C1" s="10"/>
      <c r="D1" s="10"/>
      <c r="E1" s="1"/>
      <c r="F1" s="11"/>
    </row>
    <row r="2" spans="1:7" x14ac:dyDescent="0.35">
      <c r="A2" s="26"/>
      <c r="B2" s="10"/>
      <c r="C2" s="10"/>
      <c r="D2" s="10"/>
      <c r="E2" s="1"/>
      <c r="F2" s="11"/>
    </row>
    <row r="3" spans="1:7" ht="18.5" x14ac:dyDescent="0.45">
      <c r="A3" s="26" t="s">
        <v>1</v>
      </c>
      <c r="B3" s="10"/>
      <c r="C3" s="10"/>
      <c r="D3" s="10"/>
      <c r="E3" s="1"/>
      <c r="F3" s="11"/>
      <c r="G3" s="14" t="s">
        <v>2</v>
      </c>
    </row>
    <row r="4" spans="1:7" ht="18.5" x14ac:dyDescent="0.45">
      <c r="A4" s="26" t="s">
        <v>3</v>
      </c>
      <c r="B4" s="10"/>
      <c r="C4" s="10"/>
      <c r="D4" s="10"/>
      <c r="E4" s="10"/>
      <c r="F4" s="11"/>
      <c r="G4" s="14" t="s">
        <v>4</v>
      </c>
    </row>
    <row r="5" spans="1:7" ht="18.5" x14ac:dyDescent="0.45">
      <c r="A5" s="26"/>
      <c r="B5" s="10"/>
      <c r="C5" s="10"/>
      <c r="D5" s="10"/>
      <c r="E5" s="10"/>
      <c r="F5" s="11"/>
      <c r="G5" s="14" t="s">
        <v>5</v>
      </c>
    </row>
    <row r="6" spans="1:7" ht="18.5" x14ac:dyDescent="0.45">
      <c r="A6" s="26" t="s">
        <v>6</v>
      </c>
      <c r="B6" s="10"/>
      <c r="C6" s="10"/>
      <c r="D6" s="10"/>
      <c r="E6" s="10"/>
      <c r="F6" s="11"/>
      <c r="G6" s="14" t="s">
        <v>7</v>
      </c>
    </row>
    <row r="7" spans="1:7" ht="18.5" x14ac:dyDescent="0.45">
      <c r="A7" s="26"/>
      <c r="B7" s="10"/>
      <c r="C7" s="10"/>
      <c r="D7" s="10"/>
      <c r="E7" s="10"/>
      <c r="F7" s="11"/>
      <c r="G7" s="14"/>
    </row>
    <row r="8" spans="1:7" ht="18.5" x14ac:dyDescent="0.45">
      <c r="A8" s="25" t="s">
        <v>8</v>
      </c>
      <c r="B8" s="10"/>
      <c r="C8" s="10"/>
      <c r="D8" s="10"/>
      <c r="E8" s="10"/>
      <c r="F8" s="11"/>
      <c r="G8" s="14" t="s">
        <v>9</v>
      </c>
    </row>
    <row r="9" spans="1:7" ht="18.5" x14ac:dyDescent="0.45">
      <c r="A9" s="134" t="s">
        <v>10</v>
      </c>
      <c r="B9" s="135" t="s">
        <v>11</v>
      </c>
      <c r="C9" s="10"/>
      <c r="D9" s="10"/>
      <c r="E9" s="10"/>
      <c r="F9" s="11"/>
      <c r="G9" s="24"/>
    </row>
    <row r="10" spans="1:7" ht="18.5" x14ac:dyDescent="0.45">
      <c r="A10" s="134" t="s">
        <v>13</v>
      </c>
      <c r="B10" s="135" t="s">
        <v>14</v>
      </c>
      <c r="C10" s="10"/>
      <c r="D10" s="10"/>
      <c r="E10" s="10"/>
      <c r="F10" s="11"/>
      <c r="G10" s="24"/>
    </row>
    <row r="11" spans="1:7" x14ac:dyDescent="0.35">
      <c r="A11" s="10"/>
      <c r="B11" s="10"/>
      <c r="C11" s="10"/>
      <c r="D11" s="10"/>
      <c r="E11" s="10"/>
      <c r="F11" s="11"/>
    </row>
    <row r="12" spans="1:7" x14ac:dyDescent="0.35">
      <c r="A12" s="25" t="s">
        <v>15</v>
      </c>
      <c r="B12" s="9"/>
      <c r="C12" s="10"/>
      <c r="D12" s="10"/>
      <c r="E12" s="10"/>
      <c r="F12" s="11"/>
    </row>
    <row r="13" spans="1:7" x14ac:dyDescent="0.35">
      <c r="A13" s="134" t="s">
        <v>16</v>
      </c>
      <c r="B13" s="135" t="s">
        <v>17</v>
      </c>
      <c r="C13" s="10"/>
      <c r="D13" s="134" t="s">
        <v>18</v>
      </c>
      <c r="E13" s="135" t="s">
        <v>17</v>
      </c>
      <c r="F13" s="11"/>
    </row>
    <row r="14" spans="1:7" x14ac:dyDescent="0.35">
      <c r="A14" s="134" t="s">
        <v>19</v>
      </c>
      <c r="B14" s="135" t="s">
        <v>17</v>
      </c>
      <c r="C14" s="10"/>
      <c r="D14" s="134" t="s">
        <v>20</v>
      </c>
      <c r="E14" s="135" t="s">
        <v>17</v>
      </c>
      <c r="F14" s="11"/>
    </row>
    <row r="15" spans="1:7" x14ac:dyDescent="0.35">
      <c r="A15" s="10"/>
      <c r="B15" s="10"/>
      <c r="C15" s="10"/>
      <c r="D15" s="10"/>
      <c r="E15" s="10"/>
      <c r="F15" s="11"/>
    </row>
    <row r="16" spans="1:7" x14ac:dyDescent="0.35">
      <c r="A16" s="10"/>
      <c r="B16" s="10"/>
      <c r="C16" s="10"/>
      <c r="D16" s="10"/>
      <c r="E16" s="10"/>
      <c r="F16" s="11"/>
    </row>
    <row r="17" spans="1:6" x14ac:dyDescent="0.35">
      <c r="A17" s="10"/>
      <c r="B17" s="10"/>
      <c r="C17" s="10"/>
      <c r="D17" s="10"/>
      <c r="E17" s="10"/>
      <c r="F17" s="11"/>
    </row>
    <row r="18" spans="1:6" x14ac:dyDescent="0.35">
      <c r="A18" s="10"/>
      <c r="B18" s="3" t="s">
        <v>21</v>
      </c>
      <c r="C18" s="4" t="s">
        <v>22</v>
      </c>
      <c r="D18" s="5" t="s">
        <v>23</v>
      </c>
      <c r="E18" s="5" t="s">
        <v>24</v>
      </c>
      <c r="F18" s="5" t="s">
        <v>25</v>
      </c>
    </row>
    <row r="19" spans="1:6" ht="16.5" x14ac:dyDescent="0.45">
      <c r="A19" s="19"/>
      <c r="B19" s="20"/>
      <c r="C19" s="20"/>
      <c r="D19" s="6" t="e">
        <f>B72</f>
        <v>#DIV/0!</v>
      </c>
      <c r="E19" s="7" t="e">
        <f>C72</f>
        <v>#DIV/0!</v>
      </c>
      <c r="F19" s="12" t="e">
        <f>IF(AND(B19&lt;D19,C19&lt;E19),"Blue",(IF(AND(B19&lt;D19,C19&gt;E19),"Red",(IF(AND(B19&gt;D19,C19&gt;E19),"Green",(IF(AND(B19&gt;D19,C19&lt;E19),"Yellow")))))))</f>
        <v>#DIV/0!</v>
      </c>
    </row>
    <row r="20" spans="1:6" ht="16.5" x14ac:dyDescent="0.45">
      <c r="A20" s="19"/>
      <c r="B20" s="20"/>
      <c r="C20" s="20"/>
      <c r="D20" s="6" t="e">
        <f>B72</f>
        <v>#DIV/0!</v>
      </c>
      <c r="E20" s="7" t="e">
        <f>C72</f>
        <v>#DIV/0!</v>
      </c>
      <c r="F20" s="12" t="e">
        <f t="shared" ref="F20:F68" si="0">IF(AND(B20&lt;D20,C20&lt;E20),"Blue",(IF(AND(B20&lt;D20,C20&gt;E20),"Red",(IF(AND(B20&gt;D20,C20&gt;E20),"Green",(IF(AND(B20&gt;D20,C20&lt;E20),"Yellow")))))))</f>
        <v>#DIV/0!</v>
      </c>
    </row>
    <row r="21" spans="1:6" ht="16.5" x14ac:dyDescent="0.45">
      <c r="A21" s="19"/>
      <c r="B21" s="20"/>
      <c r="C21" s="20"/>
      <c r="D21" s="6" t="e">
        <f>B72</f>
        <v>#DIV/0!</v>
      </c>
      <c r="E21" s="7" t="e">
        <f>C72</f>
        <v>#DIV/0!</v>
      </c>
      <c r="F21" s="12" t="e">
        <f t="shared" si="0"/>
        <v>#DIV/0!</v>
      </c>
    </row>
    <row r="22" spans="1:6" ht="16.5" x14ac:dyDescent="0.45">
      <c r="A22" s="19"/>
      <c r="B22" s="20"/>
      <c r="C22" s="20"/>
      <c r="D22" s="6" t="e">
        <f>B72</f>
        <v>#DIV/0!</v>
      </c>
      <c r="E22" s="7" t="e">
        <f>C72</f>
        <v>#DIV/0!</v>
      </c>
      <c r="F22" s="12" t="e">
        <f t="shared" si="0"/>
        <v>#DIV/0!</v>
      </c>
    </row>
    <row r="23" spans="1:6" ht="16.5" x14ac:dyDescent="0.45">
      <c r="A23" s="19"/>
      <c r="B23" s="20"/>
      <c r="C23" s="20"/>
      <c r="D23" s="6" t="e">
        <f>B72</f>
        <v>#DIV/0!</v>
      </c>
      <c r="E23" s="7" t="e">
        <f>C72</f>
        <v>#DIV/0!</v>
      </c>
      <c r="F23" s="12" t="e">
        <f>IF(AND(B23&lt;D23,C23&lt;E23),"Blue",(IF(AND(B23&lt;D23,C23&gt;E23),"Red",(IF(AND(B23&gt;D23,C23&gt;E23),"Green",(IF(AND(B23&gt;D23,C23&lt;E23),"Yellow")))))))</f>
        <v>#DIV/0!</v>
      </c>
    </row>
    <row r="24" spans="1:6" ht="16.5" x14ac:dyDescent="0.45">
      <c r="A24" s="19"/>
      <c r="B24" s="20"/>
      <c r="C24" s="20"/>
      <c r="D24" s="6" t="e">
        <f>B72</f>
        <v>#DIV/0!</v>
      </c>
      <c r="E24" s="7" t="e">
        <f>C72</f>
        <v>#DIV/0!</v>
      </c>
      <c r="F24" s="12" t="e">
        <f t="shared" si="0"/>
        <v>#DIV/0!</v>
      </c>
    </row>
    <row r="25" spans="1:6" ht="16.5" x14ac:dyDescent="0.45">
      <c r="A25" s="19"/>
      <c r="B25" s="20"/>
      <c r="C25" s="20"/>
      <c r="D25" s="6" t="e">
        <f>B72</f>
        <v>#DIV/0!</v>
      </c>
      <c r="E25" s="7" t="e">
        <f>C72</f>
        <v>#DIV/0!</v>
      </c>
      <c r="F25" s="12" t="e">
        <f t="shared" si="0"/>
        <v>#DIV/0!</v>
      </c>
    </row>
    <row r="26" spans="1:6" ht="16.5" x14ac:dyDescent="0.45">
      <c r="A26" s="19"/>
      <c r="B26" s="20"/>
      <c r="C26" s="20"/>
      <c r="D26" s="6" t="e">
        <f>B72</f>
        <v>#DIV/0!</v>
      </c>
      <c r="E26" s="7" t="e">
        <f>C72</f>
        <v>#DIV/0!</v>
      </c>
      <c r="F26" s="12" t="e">
        <f t="shared" si="0"/>
        <v>#DIV/0!</v>
      </c>
    </row>
    <row r="27" spans="1:6" ht="16.5" x14ac:dyDescent="0.45">
      <c r="A27" s="19"/>
      <c r="B27" s="20"/>
      <c r="C27" s="20"/>
      <c r="D27" s="6" t="e">
        <f>B72</f>
        <v>#DIV/0!</v>
      </c>
      <c r="E27" s="7" t="e">
        <f>C72</f>
        <v>#DIV/0!</v>
      </c>
      <c r="F27" s="12" t="e">
        <f t="shared" si="0"/>
        <v>#DIV/0!</v>
      </c>
    </row>
    <row r="28" spans="1:6" ht="16.5" x14ac:dyDescent="0.45">
      <c r="A28" s="19"/>
      <c r="B28" s="20"/>
      <c r="C28" s="20"/>
      <c r="D28" s="6" t="e">
        <f>B72</f>
        <v>#DIV/0!</v>
      </c>
      <c r="E28" s="7" t="e">
        <f>C72</f>
        <v>#DIV/0!</v>
      </c>
      <c r="F28" s="12" t="e">
        <f t="shared" si="0"/>
        <v>#DIV/0!</v>
      </c>
    </row>
    <row r="29" spans="1:6" ht="16.5" x14ac:dyDescent="0.45">
      <c r="A29" s="19"/>
      <c r="B29" s="20"/>
      <c r="C29" s="20"/>
      <c r="D29" s="6" t="e">
        <f>B72</f>
        <v>#DIV/0!</v>
      </c>
      <c r="E29" s="7" t="e">
        <f>C72</f>
        <v>#DIV/0!</v>
      </c>
      <c r="F29" s="12" t="e">
        <f t="shared" si="0"/>
        <v>#DIV/0!</v>
      </c>
    </row>
    <row r="30" spans="1:6" ht="16.5" x14ac:dyDescent="0.45">
      <c r="A30" s="19"/>
      <c r="B30" s="20"/>
      <c r="C30" s="20"/>
      <c r="D30" s="6" t="e">
        <f>B72</f>
        <v>#DIV/0!</v>
      </c>
      <c r="E30" s="7" t="e">
        <f>C72</f>
        <v>#DIV/0!</v>
      </c>
      <c r="F30" s="12" t="e">
        <f t="shared" si="0"/>
        <v>#DIV/0!</v>
      </c>
    </row>
    <row r="31" spans="1:6" ht="16.5" x14ac:dyDescent="0.45">
      <c r="A31" s="19"/>
      <c r="B31" s="20"/>
      <c r="C31" s="20"/>
      <c r="D31" s="6" t="e">
        <f>B72</f>
        <v>#DIV/0!</v>
      </c>
      <c r="E31" s="7" t="e">
        <f>C72</f>
        <v>#DIV/0!</v>
      </c>
      <c r="F31" s="12" t="e">
        <f t="shared" si="0"/>
        <v>#DIV/0!</v>
      </c>
    </row>
    <row r="32" spans="1:6" ht="16.5" x14ac:dyDescent="0.45">
      <c r="A32" s="19"/>
      <c r="B32" s="20"/>
      <c r="C32" s="20"/>
      <c r="D32" s="6" t="e">
        <f>B72</f>
        <v>#DIV/0!</v>
      </c>
      <c r="E32" s="7" t="e">
        <f>C72</f>
        <v>#DIV/0!</v>
      </c>
      <c r="F32" s="12" t="e">
        <f t="shared" si="0"/>
        <v>#DIV/0!</v>
      </c>
    </row>
    <row r="33" spans="1:6" ht="16.5" x14ac:dyDescent="0.45">
      <c r="A33" s="19"/>
      <c r="B33" s="20"/>
      <c r="C33" s="20"/>
      <c r="D33" s="6" t="e">
        <f>B72</f>
        <v>#DIV/0!</v>
      </c>
      <c r="E33" s="7" t="e">
        <f>C72</f>
        <v>#DIV/0!</v>
      </c>
      <c r="F33" s="12" t="e">
        <f t="shared" si="0"/>
        <v>#DIV/0!</v>
      </c>
    </row>
    <row r="34" spans="1:6" ht="16.5" x14ac:dyDescent="0.45">
      <c r="A34" s="19"/>
      <c r="B34" s="20"/>
      <c r="C34" s="20"/>
      <c r="D34" s="6" t="e">
        <f>B72</f>
        <v>#DIV/0!</v>
      </c>
      <c r="E34" s="7" t="e">
        <f>C72</f>
        <v>#DIV/0!</v>
      </c>
      <c r="F34" s="12" t="e">
        <f t="shared" si="0"/>
        <v>#DIV/0!</v>
      </c>
    </row>
    <row r="35" spans="1:6" ht="16.5" x14ac:dyDescent="0.45">
      <c r="A35" s="19"/>
      <c r="B35" s="20"/>
      <c r="C35" s="20"/>
      <c r="D35" s="6" t="e">
        <f>B72</f>
        <v>#DIV/0!</v>
      </c>
      <c r="E35" s="7" t="e">
        <f>C72</f>
        <v>#DIV/0!</v>
      </c>
      <c r="F35" s="12" t="e">
        <f t="shared" si="0"/>
        <v>#DIV/0!</v>
      </c>
    </row>
    <row r="36" spans="1:6" ht="16.5" x14ac:dyDescent="0.45">
      <c r="A36" s="19"/>
      <c r="B36" s="20"/>
      <c r="C36" s="20"/>
      <c r="D36" s="6" t="e">
        <f>B72</f>
        <v>#DIV/0!</v>
      </c>
      <c r="E36" s="7" t="e">
        <f>C72</f>
        <v>#DIV/0!</v>
      </c>
      <c r="F36" s="12" t="e">
        <f t="shared" si="0"/>
        <v>#DIV/0!</v>
      </c>
    </row>
    <row r="37" spans="1:6" ht="16.5" x14ac:dyDescent="0.45">
      <c r="A37" s="19"/>
      <c r="B37" s="20"/>
      <c r="C37" s="20"/>
      <c r="D37" s="6" t="e">
        <f>B72</f>
        <v>#DIV/0!</v>
      </c>
      <c r="E37" s="7" t="e">
        <f>C72</f>
        <v>#DIV/0!</v>
      </c>
      <c r="F37" s="12" t="e">
        <f t="shared" si="0"/>
        <v>#DIV/0!</v>
      </c>
    </row>
    <row r="38" spans="1:6" ht="16.5" x14ac:dyDescent="0.45">
      <c r="A38" s="19"/>
      <c r="B38" s="20"/>
      <c r="C38" s="20"/>
      <c r="D38" s="6" t="e">
        <f>B72</f>
        <v>#DIV/0!</v>
      </c>
      <c r="E38" s="7" t="e">
        <f>C72</f>
        <v>#DIV/0!</v>
      </c>
      <c r="F38" s="12" t="e">
        <f t="shared" si="0"/>
        <v>#DIV/0!</v>
      </c>
    </row>
    <row r="39" spans="1:6" ht="16.5" x14ac:dyDescent="0.45">
      <c r="A39" s="19"/>
      <c r="B39" s="20"/>
      <c r="C39" s="20"/>
      <c r="D39" s="6" t="e">
        <f>B72</f>
        <v>#DIV/0!</v>
      </c>
      <c r="E39" s="7" t="e">
        <f>C72</f>
        <v>#DIV/0!</v>
      </c>
      <c r="F39" s="12" t="e">
        <f t="shared" si="0"/>
        <v>#DIV/0!</v>
      </c>
    </row>
    <row r="40" spans="1:6" ht="16.5" x14ac:dyDescent="0.45">
      <c r="A40" s="19"/>
      <c r="B40" s="20"/>
      <c r="C40" s="20"/>
      <c r="D40" s="6" t="e">
        <f>B72</f>
        <v>#DIV/0!</v>
      </c>
      <c r="E40" s="7" t="e">
        <f>C72</f>
        <v>#DIV/0!</v>
      </c>
      <c r="F40" s="12" t="e">
        <f t="shared" si="0"/>
        <v>#DIV/0!</v>
      </c>
    </row>
    <row r="41" spans="1:6" ht="16.5" x14ac:dyDescent="0.45">
      <c r="A41" s="19"/>
      <c r="B41" s="20"/>
      <c r="C41" s="20"/>
      <c r="D41" s="6" t="e">
        <f>B72</f>
        <v>#DIV/0!</v>
      </c>
      <c r="E41" s="7" t="e">
        <f>C72</f>
        <v>#DIV/0!</v>
      </c>
      <c r="F41" s="12" t="e">
        <f t="shared" si="0"/>
        <v>#DIV/0!</v>
      </c>
    </row>
    <row r="42" spans="1:6" ht="16.5" x14ac:dyDescent="0.45">
      <c r="A42" s="19"/>
      <c r="B42" s="20"/>
      <c r="C42" s="20"/>
      <c r="D42" s="6" t="e">
        <f>B72</f>
        <v>#DIV/0!</v>
      </c>
      <c r="E42" s="7" t="e">
        <f>C72</f>
        <v>#DIV/0!</v>
      </c>
      <c r="F42" s="12" t="e">
        <f t="shared" si="0"/>
        <v>#DIV/0!</v>
      </c>
    </row>
    <row r="43" spans="1:6" ht="16.5" x14ac:dyDescent="0.45">
      <c r="A43" s="19"/>
      <c r="B43" s="20"/>
      <c r="C43" s="20"/>
      <c r="D43" s="6" t="e">
        <f>B72</f>
        <v>#DIV/0!</v>
      </c>
      <c r="E43" s="7" t="e">
        <f>C72</f>
        <v>#DIV/0!</v>
      </c>
      <c r="F43" s="12" t="e">
        <f t="shared" si="0"/>
        <v>#DIV/0!</v>
      </c>
    </row>
    <row r="44" spans="1:6" ht="16.5" x14ac:dyDescent="0.45">
      <c r="A44" s="19"/>
      <c r="B44" s="20"/>
      <c r="C44" s="20"/>
      <c r="D44" s="6" t="e">
        <f>B72</f>
        <v>#DIV/0!</v>
      </c>
      <c r="E44" s="7" t="e">
        <f>C72</f>
        <v>#DIV/0!</v>
      </c>
      <c r="F44" s="12" t="e">
        <f t="shared" si="0"/>
        <v>#DIV/0!</v>
      </c>
    </row>
    <row r="45" spans="1:6" ht="16.5" x14ac:dyDescent="0.45">
      <c r="A45" s="19"/>
      <c r="B45" s="20"/>
      <c r="C45" s="20"/>
      <c r="D45" s="6" t="e">
        <f>B72</f>
        <v>#DIV/0!</v>
      </c>
      <c r="E45" s="7" t="e">
        <f>C72</f>
        <v>#DIV/0!</v>
      </c>
      <c r="F45" s="12" t="e">
        <f t="shared" si="0"/>
        <v>#DIV/0!</v>
      </c>
    </row>
    <row r="46" spans="1:6" ht="16.5" x14ac:dyDescent="0.45">
      <c r="A46" s="19"/>
      <c r="B46" s="20"/>
      <c r="C46" s="20"/>
      <c r="D46" s="6" t="e">
        <f>B72</f>
        <v>#DIV/0!</v>
      </c>
      <c r="E46" s="7" t="e">
        <f>C72</f>
        <v>#DIV/0!</v>
      </c>
      <c r="F46" s="12" t="e">
        <f t="shared" si="0"/>
        <v>#DIV/0!</v>
      </c>
    </row>
    <row r="47" spans="1:6" ht="16.5" x14ac:dyDescent="0.45">
      <c r="A47" s="19"/>
      <c r="B47" s="20"/>
      <c r="C47" s="20"/>
      <c r="D47" s="6" t="e">
        <f>B72</f>
        <v>#DIV/0!</v>
      </c>
      <c r="E47" s="7" t="e">
        <f>C72</f>
        <v>#DIV/0!</v>
      </c>
      <c r="F47" s="12" t="e">
        <f t="shared" si="0"/>
        <v>#DIV/0!</v>
      </c>
    </row>
    <row r="48" spans="1:6" ht="16.5" x14ac:dyDescent="0.45">
      <c r="A48" s="19"/>
      <c r="B48" s="20"/>
      <c r="C48" s="20"/>
      <c r="D48" s="6" t="e">
        <f>B72</f>
        <v>#DIV/0!</v>
      </c>
      <c r="E48" s="7" t="e">
        <f>C72</f>
        <v>#DIV/0!</v>
      </c>
      <c r="F48" s="12" t="e">
        <f t="shared" si="0"/>
        <v>#DIV/0!</v>
      </c>
    </row>
    <row r="49" spans="1:6" ht="16.5" x14ac:dyDescent="0.45">
      <c r="A49" s="19"/>
      <c r="B49" s="20"/>
      <c r="C49" s="20"/>
      <c r="D49" s="6" t="e">
        <f>B72</f>
        <v>#DIV/0!</v>
      </c>
      <c r="E49" s="7" t="e">
        <f>C72</f>
        <v>#DIV/0!</v>
      </c>
      <c r="F49" s="12" t="e">
        <f t="shared" si="0"/>
        <v>#DIV/0!</v>
      </c>
    </row>
    <row r="50" spans="1:6" ht="16.5" x14ac:dyDescent="0.45">
      <c r="A50" s="19"/>
      <c r="B50" s="20"/>
      <c r="C50" s="20"/>
      <c r="D50" s="6" t="e">
        <f>B72</f>
        <v>#DIV/0!</v>
      </c>
      <c r="E50" s="7" t="e">
        <f>C72</f>
        <v>#DIV/0!</v>
      </c>
      <c r="F50" s="12" t="e">
        <f t="shared" si="0"/>
        <v>#DIV/0!</v>
      </c>
    </row>
    <row r="51" spans="1:6" ht="16.5" x14ac:dyDescent="0.45">
      <c r="A51" s="19"/>
      <c r="B51" s="20"/>
      <c r="C51" s="20"/>
      <c r="D51" s="6" t="e">
        <f>B72</f>
        <v>#DIV/0!</v>
      </c>
      <c r="E51" s="7" t="e">
        <f>C72</f>
        <v>#DIV/0!</v>
      </c>
      <c r="F51" s="12" t="e">
        <f t="shared" si="0"/>
        <v>#DIV/0!</v>
      </c>
    </row>
    <row r="52" spans="1:6" ht="16.5" x14ac:dyDescent="0.45">
      <c r="A52" s="19"/>
      <c r="B52" s="20"/>
      <c r="C52" s="20"/>
      <c r="D52" s="6" t="e">
        <f>B72</f>
        <v>#DIV/0!</v>
      </c>
      <c r="E52" s="7" t="e">
        <f>C72</f>
        <v>#DIV/0!</v>
      </c>
      <c r="F52" s="12" t="e">
        <f t="shared" si="0"/>
        <v>#DIV/0!</v>
      </c>
    </row>
    <row r="53" spans="1:6" ht="16.5" x14ac:dyDescent="0.45">
      <c r="A53" s="19"/>
      <c r="B53" s="20"/>
      <c r="C53" s="20"/>
      <c r="D53" s="6" t="e">
        <f>B72</f>
        <v>#DIV/0!</v>
      </c>
      <c r="E53" s="7" t="e">
        <f>C72</f>
        <v>#DIV/0!</v>
      </c>
      <c r="F53" s="12" t="e">
        <f t="shared" si="0"/>
        <v>#DIV/0!</v>
      </c>
    </row>
    <row r="54" spans="1:6" x14ac:dyDescent="0.35">
      <c r="A54" s="21"/>
      <c r="B54" s="22"/>
      <c r="C54" s="23"/>
      <c r="D54" s="6" t="e">
        <f>B72</f>
        <v>#DIV/0!</v>
      </c>
      <c r="E54" s="7" t="e">
        <f>C72</f>
        <v>#DIV/0!</v>
      </c>
      <c r="F54" s="12" t="e">
        <f t="shared" si="0"/>
        <v>#DIV/0!</v>
      </c>
    </row>
    <row r="55" spans="1:6" x14ac:dyDescent="0.35">
      <c r="A55" s="21"/>
      <c r="B55" s="22"/>
      <c r="C55" s="23"/>
      <c r="D55" s="6" t="e">
        <f>B72</f>
        <v>#DIV/0!</v>
      </c>
      <c r="E55" s="7" t="e">
        <f>C72</f>
        <v>#DIV/0!</v>
      </c>
      <c r="F55" s="12" t="e">
        <f t="shared" si="0"/>
        <v>#DIV/0!</v>
      </c>
    </row>
    <row r="56" spans="1:6" x14ac:dyDescent="0.35">
      <c r="A56" s="21"/>
      <c r="B56" s="22"/>
      <c r="C56" s="23"/>
      <c r="D56" s="6" t="e">
        <f>B72</f>
        <v>#DIV/0!</v>
      </c>
      <c r="E56" s="7" t="e">
        <f>C72</f>
        <v>#DIV/0!</v>
      </c>
      <c r="F56" s="12" t="e">
        <f t="shared" si="0"/>
        <v>#DIV/0!</v>
      </c>
    </row>
    <row r="57" spans="1:6" x14ac:dyDescent="0.35">
      <c r="A57" s="21"/>
      <c r="B57" s="22"/>
      <c r="C57" s="23"/>
      <c r="D57" s="6" t="e">
        <f>B72</f>
        <v>#DIV/0!</v>
      </c>
      <c r="E57" s="7" t="e">
        <f>C72</f>
        <v>#DIV/0!</v>
      </c>
      <c r="F57" s="12" t="e">
        <f t="shared" si="0"/>
        <v>#DIV/0!</v>
      </c>
    </row>
    <row r="58" spans="1:6" x14ac:dyDescent="0.35">
      <c r="A58" s="21"/>
      <c r="B58" s="22"/>
      <c r="C58" s="23"/>
      <c r="D58" s="6" t="e">
        <f>B72</f>
        <v>#DIV/0!</v>
      </c>
      <c r="E58" s="7" t="e">
        <f>C72</f>
        <v>#DIV/0!</v>
      </c>
      <c r="F58" s="12" t="e">
        <f t="shared" si="0"/>
        <v>#DIV/0!</v>
      </c>
    </row>
    <row r="59" spans="1:6" x14ac:dyDescent="0.35">
      <c r="A59" s="21"/>
      <c r="B59" s="22"/>
      <c r="C59" s="23"/>
      <c r="D59" s="6" t="e">
        <f>B72</f>
        <v>#DIV/0!</v>
      </c>
      <c r="E59" s="7" t="e">
        <f>C72</f>
        <v>#DIV/0!</v>
      </c>
      <c r="F59" s="12" t="e">
        <f t="shared" si="0"/>
        <v>#DIV/0!</v>
      </c>
    </row>
    <row r="60" spans="1:6" x14ac:dyDescent="0.35">
      <c r="A60" s="21"/>
      <c r="B60" s="22"/>
      <c r="C60" s="23"/>
      <c r="D60" s="6" t="e">
        <f>B72</f>
        <v>#DIV/0!</v>
      </c>
      <c r="E60" s="7" t="e">
        <f>C72</f>
        <v>#DIV/0!</v>
      </c>
      <c r="F60" s="12" t="e">
        <f t="shared" si="0"/>
        <v>#DIV/0!</v>
      </c>
    </row>
    <row r="61" spans="1:6" x14ac:dyDescent="0.35">
      <c r="A61" s="21"/>
      <c r="B61" s="22"/>
      <c r="C61" s="23"/>
      <c r="D61" s="6" t="e">
        <f>B72</f>
        <v>#DIV/0!</v>
      </c>
      <c r="E61" s="7" t="e">
        <f>C72</f>
        <v>#DIV/0!</v>
      </c>
      <c r="F61" s="12" t="e">
        <f t="shared" si="0"/>
        <v>#DIV/0!</v>
      </c>
    </row>
    <row r="62" spans="1:6" x14ac:dyDescent="0.35">
      <c r="A62" s="21"/>
      <c r="B62" s="22"/>
      <c r="C62" s="23"/>
      <c r="D62" s="6" t="e">
        <f>B72</f>
        <v>#DIV/0!</v>
      </c>
      <c r="E62" s="7" t="e">
        <f>C72</f>
        <v>#DIV/0!</v>
      </c>
      <c r="F62" s="12" t="e">
        <f t="shared" si="0"/>
        <v>#DIV/0!</v>
      </c>
    </row>
    <row r="63" spans="1:6" x14ac:dyDescent="0.35">
      <c r="A63" s="21"/>
      <c r="B63" s="22"/>
      <c r="C63" s="23"/>
      <c r="D63" s="6" t="e">
        <f>B72</f>
        <v>#DIV/0!</v>
      </c>
      <c r="E63" s="7" t="e">
        <f>C72</f>
        <v>#DIV/0!</v>
      </c>
      <c r="F63" s="12" t="e">
        <f t="shared" si="0"/>
        <v>#DIV/0!</v>
      </c>
    </row>
    <row r="64" spans="1:6" x14ac:dyDescent="0.35">
      <c r="A64" s="21"/>
      <c r="B64" s="22"/>
      <c r="C64" s="23"/>
      <c r="D64" s="6" t="e">
        <f>B72</f>
        <v>#DIV/0!</v>
      </c>
      <c r="E64" s="7" t="e">
        <f>C72</f>
        <v>#DIV/0!</v>
      </c>
      <c r="F64" s="12" t="e">
        <f t="shared" si="0"/>
        <v>#DIV/0!</v>
      </c>
    </row>
    <row r="65" spans="1:6" x14ac:dyDescent="0.35">
      <c r="A65" s="21"/>
      <c r="B65" s="22"/>
      <c r="C65" s="23"/>
      <c r="D65" s="6" t="e">
        <f>B72</f>
        <v>#DIV/0!</v>
      </c>
      <c r="E65" s="7" t="e">
        <f>C72</f>
        <v>#DIV/0!</v>
      </c>
      <c r="F65" s="12" t="e">
        <f t="shared" si="0"/>
        <v>#DIV/0!</v>
      </c>
    </row>
    <row r="66" spans="1:6" x14ac:dyDescent="0.35">
      <c r="A66" s="21"/>
      <c r="B66" s="22"/>
      <c r="C66" s="23"/>
      <c r="D66" s="6" t="e">
        <f>B72</f>
        <v>#DIV/0!</v>
      </c>
      <c r="E66" s="7" t="e">
        <f>C72</f>
        <v>#DIV/0!</v>
      </c>
      <c r="F66" s="12" t="e">
        <f t="shared" si="0"/>
        <v>#DIV/0!</v>
      </c>
    </row>
    <row r="67" spans="1:6" x14ac:dyDescent="0.35">
      <c r="A67" s="21"/>
      <c r="B67" s="22"/>
      <c r="C67" s="23"/>
      <c r="D67" s="6" t="e">
        <f>B72</f>
        <v>#DIV/0!</v>
      </c>
      <c r="E67" s="7" t="e">
        <f>C72</f>
        <v>#DIV/0!</v>
      </c>
      <c r="F67" s="12" t="e">
        <f t="shared" si="0"/>
        <v>#DIV/0!</v>
      </c>
    </row>
    <row r="68" spans="1:6" x14ac:dyDescent="0.35">
      <c r="A68" s="21"/>
      <c r="B68" s="22"/>
      <c r="C68" s="23"/>
      <c r="D68" s="6" t="e">
        <f>B72</f>
        <v>#DIV/0!</v>
      </c>
      <c r="E68" s="7" t="e">
        <f>C72</f>
        <v>#DIV/0!</v>
      </c>
      <c r="F68" s="12" t="e">
        <f t="shared" si="0"/>
        <v>#DIV/0!</v>
      </c>
    </row>
    <row r="69" spans="1:6" x14ac:dyDescent="0.35">
      <c r="A69" s="15"/>
      <c r="B69" s="16"/>
      <c r="C69" s="17"/>
      <c r="D69" s="6"/>
      <c r="E69" s="7"/>
      <c r="F69" s="18"/>
    </row>
    <row r="70" spans="1:6" x14ac:dyDescent="0.35">
      <c r="A70" s="15"/>
      <c r="B70" s="16"/>
      <c r="C70" s="17"/>
      <c r="D70" s="6"/>
      <c r="E70" s="7"/>
      <c r="F70" s="18"/>
    </row>
    <row r="71" spans="1:6" x14ac:dyDescent="0.35">
      <c r="A71" s="15"/>
      <c r="B71" s="16"/>
      <c r="C71" s="17"/>
      <c r="D71" s="6"/>
      <c r="E71" s="7"/>
      <c r="F71" s="18"/>
    </row>
    <row r="72" spans="1:6" x14ac:dyDescent="0.35">
      <c r="A72" s="13" t="s">
        <v>26</v>
      </c>
      <c r="B72" s="8" t="e">
        <f>AVERAGE(B19:B68)</f>
        <v>#DIV/0!</v>
      </c>
      <c r="C72" s="8" t="e">
        <f>AVERAGE(C19:C68)</f>
        <v>#DIV/0!</v>
      </c>
      <c r="D72" s="6"/>
      <c r="E72" s="7"/>
    </row>
    <row r="73" spans="1:6" x14ac:dyDescent="0.35">
      <c r="A73" s="13" t="s">
        <v>27</v>
      </c>
      <c r="B73" s="8" t="e">
        <f>B72-1.1*(MAX(MAX(B19:B68)-B72,B72-MIN(B19:B35)))</f>
        <v>#DIV/0!</v>
      </c>
      <c r="C73" s="8" t="e">
        <f>C72-1.18*(MAX(MAX(C19:C68)-C72,C72-MIN(C19:C35)))</f>
        <v>#DIV/0!</v>
      </c>
      <c r="D73" s="6"/>
    </row>
    <row r="74" spans="1:6" x14ac:dyDescent="0.35">
      <c r="A74" s="13" t="s">
        <v>28</v>
      </c>
      <c r="B74" s="8" t="e">
        <f>B72+1.1*(MAX(MAX(B19:B68)-B72,B72-MIN(B19:B35)))</f>
        <v>#DIV/0!</v>
      </c>
      <c r="C74" s="8" t="e">
        <f>C72+1.18*(MAX(MAX(C19:C68)-C72,C72-MIN(C19:C35)))</f>
        <v>#DIV/0!</v>
      </c>
      <c r="D74" s="6"/>
    </row>
    <row r="75" spans="1:6" x14ac:dyDescent="0.35">
      <c r="D75" s="6"/>
    </row>
    <row r="76" spans="1:6" x14ac:dyDescent="0.35">
      <c r="B76" s="10"/>
      <c r="C76" s="10"/>
      <c r="D76" s="10"/>
    </row>
    <row r="77" spans="1:6" x14ac:dyDescent="0.35">
      <c r="B77" s="10"/>
      <c r="C77" s="10"/>
      <c r="D77" s="10"/>
    </row>
    <row r="78" spans="1:6" x14ac:dyDescent="0.35">
      <c r="D78" s="6"/>
    </row>
    <row r="79" spans="1:6" x14ac:dyDescent="0.35">
      <c r="D79" s="6"/>
    </row>
    <row r="80" spans="1:6" x14ac:dyDescent="0.35">
      <c r="D80" s="6"/>
    </row>
    <row r="81" spans="4:4" x14ac:dyDescent="0.35">
      <c r="D81" s="6"/>
    </row>
    <row r="82" spans="4:4" x14ac:dyDescent="0.35">
      <c r="D82" s="6"/>
    </row>
    <row r="83" spans="4:4" x14ac:dyDescent="0.35">
      <c r="D83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6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76F7-FBDC-471F-838C-581EC97B4E1C}">
  <sheetPr codeName="Sheet11"/>
  <dimension ref="A1:G83"/>
  <sheetViews>
    <sheetView topLeftCell="A32" zoomScaleNormal="100" workbookViewId="0">
      <selection activeCell="A13" sqref="A13"/>
    </sheetView>
  </sheetViews>
  <sheetFormatPr defaultColWidth="8.75" defaultRowHeight="14.5" x14ac:dyDescent="0.35"/>
  <cols>
    <col min="1" max="1" width="38.25" style="2" customWidth="1"/>
    <col min="2" max="6" width="8.75" style="2"/>
    <col min="7" max="7" width="158.33203125" style="2" customWidth="1"/>
    <col min="8" max="8" width="8.75" style="2"/>
    <col min="9" max="9" width="147.33203125" style="2" customWidth="1"/>
    <col min="10" max="16384" width="8.75" style="2"/>
  </cols>
  <sheetData>
    <row r="1" spans="1:7" x14ac:dyDescent="0.35">
      <c r="A1" s="25" t="s">
        <v>0</v>
      </c>
      <c r="B1" s="10"/>
      <c r="C1" s="10"/>
      <c r="D1" s="10"/>
      <c r="E1" s="1"/>
      <c r="F1" s="11"/>
    </row>
    <row r="2" spans="1:7" x14ac:dyDescent="0.35">
      <c r="A2" s="26"/>
      <c r="B2" s="10"/>
      <c r="C2" s="10"/>
      <c r="D2" s="10"/>
      <c r="E2" s="1"/>
      <c r="F2" s="11"/>
    </row>
    <row r="3" spans="1:7" ht="18.5" x14ac:dyDescent="0.45">
      <c r="A3" s="26" t="s">
        <v>1</v>
      </c>
      <c r="B3" s="10"/>
      <c r="C3" s="10"/>
      <c r="D3" s="10"/>
      <c r="E3" s="1"/>
      <c r="F3" s="11"/>
      <c r="G3" s="14" t="s">
        <v>2</v>
      </c>
    </row>
    <row r="4" spans="1:7" ht="18.5" x14ac:dyDescent="0.45">
      <c r="A4" s="26" t="s">
        <v>3</v>
      </c>
      <c r="B4" s="10"/>
      <c r="C4" s="10"/>
      <c r="D4" s="10"/>
      <c r="E4" s="10"/>
      <c r="F4" s="11"/>
      <c r="G4" s="14" t="s">
        <v>4</v>
      </c>
    </row>
    <row r="5" spans="1:7" ht="18.5" x14ac:dyDescent="0.45">
      <c r="A5" s="26"/>
      <c r="B5" s="10"/>
      <c r="C5" s="10"/>
      <c r="D5" s="10"/>
      <c r="E5" s="10"/>
      <c r="F5" s="11"/>
      <c r="G5" s="14" t="s">
        <v>5</v>
      </c>
    </row>
    <row r="6" spans="1:7" ht="18.5" x14ac:dyDescent="0.45">
      <c r="A6" s="26" t="s">
        <v>6</v>
      </c>
      <c r="B6" s="10"/>
      <c r="C6" s="10"/>
      <c r="D6" s="10"/>
      <c r="E6" s="10"/>
      <c r="F6" s="11"/>
      <c r="G6" s="14" t="s">
        <v>7</v>
      </c>
    </row>
    <row r="7" spans="1:7" ht="18.5" x14ac:dyDescent="0.45">
      <c r="A7" s="26"/>
      <c r="B7" s="10"/>
      <c r="C7" s="10"/>
      <c r="D7" s="10"/>
      <c r="E7" s="10"/>
      <c r="F7" s="11"/>
      <c r="G7" s="14"/>
    </row>
    <row r="8" spans="1:7" ht="18.5" x14ac:dyDescent="0.45">
      <c r="A8" s="25" t="s">
        <v>8</v>
      </c>
      <c r="B8" s="10"/>
      <c r="C8" s="10"/>
      <c r="D8" s="10"/>
      <c r="E8" s="10"/>
      <c r="F8" s="11"/>
      <c r="G8" s="14" t="s">
        <v>9</v>
      </c>
    </row>
    <row r="9" spans="1:7" ht="18.5" x14ac:dyDescent="0.45">
      <c r="A9" s="134" t="s">
        <v>10</v>
      </c>
      <c r="B9" s="135" t="s">
        <v>11</v>
      </c>
      <c r="C9" s="10"/>
      <c r="D9" s="10"/>
      <c r="E9" s="10"/>
      <c r="F9" s="11"/>
      <c r="G9" s="24"/>
    </row>
    <row r="10" spans="1:7" ht="18.5" x14ac:dyDescent="0.45">
      <c r="A10" s="134" t="s">
        <v>13</v>
      </c>
      <c r="B10" s="135" t="s">
        <v>14</v>
      </c>
      <c r="C10" s="10"/>
      <c r="D10" s="10"/>
      <c r="E10" s="10"/>
      <c r="F10" s="11"/>
      <c r="G10" s="24"/>
    </row>
    <row r="11" spans="1:7" x14ac:dyDescent="0.35">
      <c r="A11" s="10"/>
      <c r="B11" s="10"/>
      <c r="C11" s="10"/>
      <c r="D11" s="10"/>
      <c r="E11" s="10"/>
      <c r="F11" s="11"/>
    </row>
    <row r="12" spans="1:7" x14ac:dyDescent="0.35">
      <c r="A12" s="25" t="s">
        <v>15</v>
      </c>
      <c r="B12" s="9"/>
      <c r="C12" s="10"/>
      <c r="D12" s="10"/>
      <c r="E12" s="10"/>
      <c r="F12" s="11"/>
    </row>
    <row r="13" spans="1:7" x14ac:dyDescent="0.35">
      <c r="A13" s="134" t="s">
        <v>16</v>
      </c>
      <c r="B13" s="135" t="s">
        <v>17</v>
      </c>
      <c r="C13" s="10"/>
      <c r="D13" s="134" t="s">
        <v>18</v>
      </c>
      <c r="E13" s="135" t="s">
        <v>17</v>
      </c>
      <c r="F13" s="11"/>
    </row>
    <row r="14" spans="1:7" x14ac:dyDescent="0.35">
      <c r="A14" s="134" t="s">
        <v>19</v>
      </c>
      <c r="B14" s="135" t="s">
        <v>17</v>
      </c>
      <c r="C14" s="10"/>
      <c r="D14" s="134" t="s">
        <v>20</v>
      </c>
      <c r="E14" s="135" t="s">
        <v>17</v>
      </c>
      <c r="F14" s="11"/>
    </row>
    <row r="15" spans="1:7" x14ac:dyDescent="0.35">
      <c r="A15" s="10"/>
      <c r="B15" s="10"/>
      <c r="C15" s="10"/>
      <c r="D15" s="10"/>
      <c r="E15" s="10"/>
      <c r="F15" s="11"/>
    </row>
    <row r="16" spans="1:7" x14ac:dyDescent="0.35">
      <c r="A16" s="10"/>
      <c r="B16" s="10"/>
      <c r="C16" s="10"/>
      <c r="D16" s="10"/>
      <c r="E16" s="10"/>
      <c r="F16" s="11"/>
    </row>
    <row r="17" spans="1:6" x14ac:dyDescent="0.35">
      <c r="A17" s="10"/>
      <c r="B17" s="10"/>
      <c r="C17" s="10"/>
      <c r="D17" s="10"/>
      <c r="E17" s="10"/>
      <c r="F17" s="11"/>
    </row>
    <row r="18" spans="1:6" x14ac:dyDescent="0.35">
      <c r="A18" s="10"/>
      <c r="B18" s="3" t="s">
        <v>21</v>
      </c>
      <c r="C18" s="4" t="s">
        <v>22</v>
      </c>
      <c r="D18" s="5" t="s">
        <v>23</v>
      </c>
      <c r="E18" s="5" t="s">
        <v>24</v>
      </c>
      <c r="F18" s="5" t="s">
        <v>25</v>
      </c>
    </row>
    <row r="19" spans="1:6" ht="16.5" x14ac:dyDescent="0.45">
      <c r="A19" s="19"/>
      <c r="B19" s="20"/>
      <c r="C19" s="20"/>
      <c r="D19" s="6" t="e">
        <f>B72</f>
        <v>#DIV/0!</v>
      </c>
      <c r="E19" s="7" t="e">
        <f>C72</f>
        <v>#DIV/0!</v>
      </c>
      <c r="F19" s="12" t="e">
        <f>IF(AND(B19&lt;D19,C19&lt;E19),"Blue",(IF(AND(B19&lt;D19,C19&gt;E19),"Red",(IF(AND(B19&gt;D19,C19&gt;E19),"Green",(IF(AND(B19&gt;D19,C19&lt;E19),"Yellow")))))))</f>
        <v>#DIV/0!</v>
      </c>
    </row>
    <row r="20" spans="1:6" ht="16.5" x14ac:dyDescent="0.45">
      <c r="A20" s="19"/>
      <c r="B20" s="20"/>
      <c r="C20" s="20"/>
      <c r="D20" s="6" t="e">
        <f>B72</f>
        <v>#DIV/0!</v>
      </c>
      <c r="E20" s="7" t="e">
        <f>C72</f>
        <v>#DIV/0!</v>
      </c>
      <c r="F20" s="12" t="e">
        <f t="shared" ref="F20:F68" si="0">IF(AND(B20&lt;D20,C20&lt;E20),"Blue",(IF(AND(B20&lt;D20,C20&gt;E20),"Red",(IF(AND(B20&gt;D20,C20&gt;E20),"Green",(IF(AND(B20&gt;D20,C20&lt;E20),"Yellow")))))))</f>
        <v>#DIV/0!</v>
      </c>
    </row>
    <row r="21" spans="1:6" ht="16.5" x14ac:dyDescent="0.45">
      <c r="A21" s="19"/>
      <c r="B21" s="20"/>
      <c r="C21" s="20"/>
      <c r="D21" s="6" t="e">
        <f>B72</f>
        <v>#DIV/0!</v>
      </c>
      <c r="E21" s="7" t="e">
        <f>C72</f>
        <v>#DIV/0!</v>
      </c>
      <c r="F21" s="12" t="e">
        <f t="shared" si="0"/>
        <v>#DIV/0!</v>
      </c>
    </row>
    <row r="22" spans="1:6" ht="16.5" x14ac:dyDescent="0.45">
      <c r="A22" s="19"/>
      <c r="B22" s="20"/>
      <c r="C22" s="20"/>
      <c r="D22" s="6" t="e">
        <f>B72</f>
        <v>#DIV/0!</v>
      </c>
      <c r="E22" s="7" t="e">
        <f>C72</f>
        <v>#DIV/0!</v>
      </c>
      <c r="F22" s="12" t="e">
        <f t="shared" si="0"/>
        <v>#DIV/0!</v>
      </c>
    </row>
    <row r="23" spans="1:6" ht="16.5" x14ac:dyDescent="0.45">
      <c r="A23" s="19"/>
      <c r="B23" s="20"/>
      <c r="C23" s="20"/>
      <c r="D23" s="6" t="e">
        <f>B72</f>
        <v>#DIV/0!</v>
      </c>
      <c r="E23" s="7" t="e">
        <f>C72</f>
        <v>#DIV/0!</v>
      </c>
      <c r="F23" s="12" t="e">
        <f>IF(AND(B23&lt;D23,C23&lt;E23),"Blue",(IF(AND(B23&lt;D23,C23&gt;E23),"Red",(IF(AND(B23&gt;D23,C23&gt;E23),"Green",(IF(AND(B23&gt;D23,C23&lt;E23),"Yellow")))))))</f>
        <v>#DIV/0!</v>
      </c>
    </row>
    <row r="24" spans="1:6" ht="16.5" x14ac:dyDescent="0.45">
      <c r="A24" s="19"/>
      <c r="B24" s="20"/>
      <c r="C24" s="20"/>
      <c r="D24" s="6" t="e">
        <f>B72</f>
        <v>#DIV/0!</v>
      </c>
      <c r="E24" s="7" t="e">
        <f>C72</f>
        <v>#DIV/0!</v>
      </c>
      <c r="F24" s="12" t="e">
        <f t="shared" si="0"/>
        <v>#DIV/0!</v>
      </c>
    </row>
    <row r="25" spans="1:6" ht="16.5" x14ac:dyDescent="0.45">
      <c r="A25" s="19"/>
      <c r="B25" s="20"/>
      <c r="C25" s="20"/>
      <c r="D25" s="6" t="e">
        <f>B72</f>
        <v>#DIV/0!</v>
      </c>
      <c r="E25" s="7" t="e">
        <f>C72</f>
        <v>#DIV/0!</v>
      </c>
      <c r="F25" s="12" t="e">
        <f t="shared" si="0"/>
        <v>#DIV/0!</v>
      </c>
    </row>
    <row r="26" spans="1:6" ht="16.5" x14ac:dyDescent="0.45">
      <c r="A26" s="19"/>
      <c r="B26" s="20"/>
      <c r="C26" s="20"/>
      <c r="D26" s="6" t="e">
        <f>B72</f>
        <v>#DIV/0!</v>
      </c>
      <c r="E26" s="7" t="e">
        <f>C72</f>
        <v>#DIV/0!</v>
      </c>
      <c r="F26" s="12" t="e">
        <f t="shared" si="0"/>
        <v>#DIV/0!</v>
      </c>
    </row>
    <row r="27" spans="1:6" ht="16.5" x14ac:dyDescent="0.45">
      <c r="A27" s="19"/>
      <c r="B27" s="20"/>
      <c r="C27" s="20"/>
      <c r="D27" s="6" t="e">
        <f>B72</f>
        <v>#DIV/0!</v>
      </c>
      <c r="E27" s="7" t="e">
        <f>C72</f>
        <v>#DIV/0!</v>
      </c>
      <c r="F27" s="12" t="e">
        <f t="shared" si="0"/>
        <v>#DIV/0!</v>
      </c>
    </row>
    <row r="28" spans="1:6" ht="16.5" x14ac:dyDescent="0.45">
      <c r="A28" s="19"/>
      <c r="B28" s="20"/>
      <c r="C28" s="20"/>
      <c r="D28" s="6" t="e">
        <f>B72</f>
        <v>#DIV/0!</v>
      </c>
      <c r="E28" s="7" t="e">
        <f>C72</f>
        <v>#DIV/0!</v>
      </c>
      <c r="F28" s="12" t="e">
        <f t="shared" si="0"/>
        <v>#DIV/0!</v>
      </c>
    </row>
    <row r="29" spans="1:6" ht="16.5" x14ac:dyDescent="0.45">
      <c r="A29" s="19"/>
      <c r="B29" s="20"/>
      <c r="C29" s="20"/>
      <c r="D29" s="6" t="e">
        <f>B72</f>
        <v>#DIV/0!</v>
      </c>
      <c r="E29" s="7" t="e">
        <f>C72</f>
        <v>#DIV/0!</v>
      </c>
      <c r="F29" s="12" t="e">
        <f t="shared" si="0"/>
        <v>#DIV/0!</v>
      </c>
    </row>
    <row r="30" spans="1:6" ht="16.5" x14ac:dyDescent="0.45">
      <c r="A30" s="19"/>
      <c r="B30" s="20"/>
      <c r="C30" s="20"/>
      <c r="D30" s="6" t="e">
        <f>B72</f>
        <v>#DIV/0!</v>
      </c>
      <c r="E30" s="7" t="e">
        <f>C72</f>
        <v>#DIV/0!</v>
      </c>
      <c r="F30" s="12" t="e">
        <f t="shared" si="0"/>
        <v>#DIV/0!</v>
      </c>
    </row>
    <row r="31" spans="1:6" ht="16.5" x14ac:dyDescent="0.45">
      <c r="A31" s="19"/>
      <c r="B31" s="20"/>
      <c r="C31" s="20"/>
      <c r="D31" s="6" t="e">
        <f>B72</f>
        <v>#DIV/0!</v>
      </c>
      <c r="E31" s="7" t="e">
        <f>C72</f>
        <v>#DIV/0!</v>
      </c>
      <c r="F31" s="12" t="e">
        <f t="shared" si="0"/>
        <v>#DIV/0!</v>
      </c>
    </row>
    <row r="32" spans="1:6" ht="16.5" x14ac:dyDescent="0.45">
      <c r="A32" s="19"/>
      <c r="B32" s="20"/>
      <c r="C32" s="20"/>
      <c r="D32" s="6" t="e">
        <f>B72</f>
        <v>#DIV/0!</v>
      </c>
      <c r="E32" s="7" t="e">
        <f>C72</f>
        <v>#DIV/0!</v>
      </c>
      <c r="F32" s="12" t="e">
        <f t="shared" si="0"/>
        <v>#DIV/0!</v>
      </c>
    </row>
    <row r="33" spans="1:6" ht="16.5" x14ac:dyDescent="0.45">
      <c r="A33" s="19"/>
      <c r="B33" s="20"/>
      <c r="C33" s="20"/>
      <c r="D33" s="6" t="e">
        <f>B72</f>
        <v>#DIV/0!</v>
      </c>
      <c r="E33" s="7" t="e">
        <f>C72</f>
        <v>#DIV/0!</v>
      </c>
      <c r="F33" s="12" t="e">
        <f t="shared" si="0"/>
        <v>#DIV/0!</v>
      </c>
    </row>
    <row r="34" spans="1:6" ht="16.5" x14ac:dyDescent="0.45">
      <c r="A34" s="19"/>
      <c r="B34" s="20"/>
      <c r="C34" s="20"/>
      <c r="D34" s="6" t="e">
        <f>B72</f>
        <v>#DIV/0!</v>
      </c>
      <c r="E34" s="7" t="e">
        <f>C72</f>
        <v>#DIV/0!</v>
      </c>
      <c r="F34" s="12" t="e">
        <f t="shared" si="0"/>
        <v>#DIV/0!</v>
      </c>
    </row>
    <row r="35" spans="1:6" ht="16.5" x14ac:dyDescent="0.45">
      <c r="A35" s="19"/>
      <c r="B35" s="20"/>
      <c r="C35" s="20"/>
      <c r="D35" s="6" t="e">
        <f>B72</f>
        <v>#DIV/0!</v>
      </c>
      <c r="E35" s="7" t="e">
        <f>C72</f>
        <v>#DIV/0!</v>
      </c>
      <c r="F35" s="12" t="e">
        <f t="shared" si="0"/>
        <v>#DIV/0!</v>
      </c>
    </row>
    <row r="36" spans="1:6" ht="16.5" x14ac:dyDescent="0.45">
      <c r="A36" s="19"/>
      <c r="B36" s="20"/>
      <c r="C36" s="20"/>
      <c r="D36" s="6" t="e">
        <f>B72</f>
        <v>#DIV/0!</v>
      </c>
      <c r="E36" s="7" t="e">
        <f>C72</f>
        <v>#DIV/0!</v>
      </c>
      <c r="F36" s="12" t="e">
        <f t="shared" si="0"/>
        <v>#DIV/0!</v>
      </c>
    </row>
    <row r="37" spans="1:6" ht="16.5" x14ac:dyDescent="0.45">
      <c r="A37" s="19"/>
      <c r="B37" s="20"/>
      <c r="C37" s="20"/>
      <c r="D37" s="6" t="e">
        <f>B72</f>
        <v>#DIV/0!</v>
      </c>
      <c r="E37" s="7" t="e">
        <f>C72</f>
        <v>#DIV/0!</v>
      </c>
      <c r="F37" s="12" t="e">
        <f t="shared" si="0"/>
        <v>#DIV/0!</v>
      </c>
    </row>
    <row r="38" spans="1:6" ht="16.5" x14ac:dyDescent="0.45">
      <c r="A38" s="19"/>
      <c r="B38" s="20"/>
      <c r="C38" s="20"/>
      <c r="D38" s="6" t="e">
        <f>B72</f>
        <v>#DIV/0!</v>
      </c>
      <c r="E38" s="7" t="e">
        <f>C72</f>
        <v>#DIV/0!</v>
      </c>
      <c r="F38" s="12" t="e">
        <f t="shared" si="0"/>
        <v>#DIV/0!</v>
      </c>
    </row>
    <row r="39" spans="1:6" ht="16.5" x14ac:dyDescent="0.45">
      <c r="A39" s="19"/>
      <c r="B39" s="20"/>
      <c r="C39" s="20"/>
      <c r="D39" s="6" t="e">
        <f>B72</f>
        <v>#DIV/0!</v>
      </c>
      <c r="E39" s="7" t="e">
        <f>C72</f>
        <v>#DIV/0!</v>
      </c>
      <c r="F39" s="12" t="e">
        <f t="shared" si="0"/>
        <v>#DIV/0!</v>
      </c>
    </row>
    <row r="40" spans="1:6" ht="16.5" x14ac:dyDescent="0.45">
      <c r="A40" s="19"/>
      <c r="B40" s="20"/>
      <c r="C40" s="20"/>
      <c r="D40" s="6" t="e">
        <f>B72</f>
        <v>#DIV/0!</v>
      </c>
      <c r="E40" s="7" t="e">
        <f>C72</f>
        <v>#DIV/0!</v>
      </c>
      <c r="F40" s="12" t="e">
        <f t="shared" si="0"/>
        <v>#DIV/0!</v>
      </c>
    </row>
    <row r="41" spans="1:6" ht="16.5" x14ac:dyDescent="0.45">
      <c r="A41" s="19"/>
      <c r="B41" s="20"/>
      <c r="C41" s="20"/>
      <c r="D41" s="6" t="e">
        <f>B72</f>
        <v>#DIV/0!</v>
      </c>
      <c r="E41" s="7" t="e">
        <f>C72</f>
        <v>#DIV/0!</v>
      </c>
      <c r="F41" s="12" t="e">
        <f t="shared" si="0"/>
        <v>#DIV/0!</v>
      </c>
    </row>
    <row r="42" spans="1:6" ht="16.5" x14ac:dyDescent="0.45">
      <c r="A42" s="19"/>
      <c r="B42" s="20"/>
      <c r="C42" s="20"/>
      <c r="D42" s="6" t="e">
        <f>B72</f>
        <v>#DIV/0!</v>
      </c>
      <c r="E42" s="7" t="e">
        <f>C72</f>
        <v>#DIV/0!</v>
      </c>
      <c r="F42" s="12" t="e">
        <f t="shared" si="0"/>
        <v>#DIV/0!</v>
      </c>
    </row>
    <row r="43" spans="1:6" ht="16.5" x14ac:dyDescent="0.45">
      <c r="A43" s="19"/>
      <c r="B43" s="20"/>
      <c r="C43" s="20"/>
      <c r="D43" s="6" t="e">
        <f>B72</f>
        <v>#DIV/0!</v>
      </c>
      <c r="E43" s="7" t="e">
        <f>C72</f>
        <v>#DIV/0!</v>
      </c>
      <c r="F43" s="12" t="e">
        <f t="shared" si="0"/>
        <v>#DIV/0!</v>
      </c>
    </row>
    <row r="44" spans="1:6" ht="16.5" x14ac:dyDescent="0.45">
      <c r="A44" s="19"/>
      <c r="B44" s="20"/>
      <c r="C44" s="20"/>
      <c r="D44" s="6" t="e">
        <f>B72</f>
        <v>#DIV/0!</v>
      </c>
      <c r="E44" s="7" t="e">
        <f>C72</f>
        <v>#DIV/0!</v>
      </c>
      <c r="F44" s="12" t="e">
        <f t="shared" si="0"/>
        <v>#DIV/0!</v>
      </c>
    </row>
    <row r="45" spans="1:6" ht="16.5" x14ac:dyDescent="0.45">
      <c r="A45" s="19"/>
      <c r="B45" s="20"/>
      <c r="C45" s="20"/>
      <c r="D45" s="6" t="e">
        <f>B72</f>
        <v>#DIV/0!</v>
      </c>
      <c r="E45" s="7" t="e">
        <f>C72</f>
        <v>#DIV/0!</v>
      </c>
      <c r="F45" s="12" t="e">
        <f t="shared" si="0"/>
        <v>#DIV/0!</v>
      </c>
    </row>
    <row r="46" spans="1:6" ht="16.5" x14ac:dyDescent="0.45">
      <c r="A46" s="19"/>
      <c r="B46" s="20"/>
      <c r="C46" s="20"/>
      <c r="D46" s="6" t="e">
        <f>B72</f>
        <v>#DIV/0!</v>
      </c>
      <c r="E46" s="7" t="e">
        <f>C72</f>
        <v>#DIV/0!</v>
      </c>
      <c r="F46" s="12" t="e">
        <f t="shared" si="0"/>
        <v>#DIV/0!</v>
      </c>
    </row>
    <row r="47" spans="1:6" ht="16.5" x14ac:dyDescent="0.45">
      <c r="A47" s="19"/>
      <c r="B47" s="20"/>
      <c r="C47" s="20"/>
      <c r="D47" s="6" t="e">
        <f>B72</f>
        <v>#DIV/0!</v>
      </c>
      <c r="E47" s="7" t="e">
        <f>C72</f>
        <v>#DIV/0!</v>
      </c>
      <c r="F47" s="12" t="e">
        <f t="shared" si="0"/>
        <v>#DIV/0!</v>
      </c>
    </row>
    <row r="48" spans="1:6" ht="16.5" x14ac:dyDescent="0.45">
      <c r="A48" s="19"/>
      <c r="B48" s="20"/>
      <c r="C48" s="20"/>
      <c r="D48" s="6" t="e">
        <f>B72</f>
        <v>#DIV/0!</v>
      </c>
      <c r="E48" s="7" t="e">
        <f>C72</f>
        <v>#DIV/0!</v>
      </c>
      <c r="F48" s="12" t="e">
        <f t="shared" si="0"/>
        <v>#DIV/0!</v>
      </c>
    </row>
    <row r="49" spans="1:6" ht="16.5" x14ac:dyDescent="0.45">
      <c r="A49" s="19"/>
      <c r="B49" s="20"/>
      <c r="C49" s="20"/>
      <c r="D49" s="6" t="e">
        <f>B72</f>
        <v>#DIV/0!</v>
      </c>
      <c r="E49" s="7" t="e">
        <f>C72</f>
        <v>#DIV/0!</v>
      </c>
      <c r="F49" s="12" t="e">
        <f t="shared" si="0"/>
        <v>#DIV/0!</v>
      </c>
    </row>
    <row r="50" spans="1:6" ht="16.5" x14ac:dyDescent="0.45">
      <c r="A50" s="19"/>
      <c r="B50" s="20"/>
      <c r="C50" s="20"/>
      <c r="D50" s="6" t="e">
        <f>B72</f>
        <v>#DIV/0!</v>
      </c>
      <c r="E50" s="7" t="e">
        <f>C72</f>
        <v>#DIV/0!</v>
      </c>
      <c r="F50" s="12" t="e">
        <f t="shared" si="0"/>
        <v>#DIV/0!</v>
      </c>
    </row>
    <row r="51" spans="1:6" ht="16.5" x14ac:dyDescent="0.45">
      <c r="A51" s="19"/>
      <c r="B51" s="20"/>
      <c r="C51" s="20"/>
      <c r="D51" s="6" t="e">
        <f>B72</f>
        <v>#DIV/0!</v>
      </c>
      <c r="E51" s="7" t="e">
        <f>C72</f>
        <v>#DIV/0!</v>
      </c>
      <c r="F51" s="12" t="e">
        <f t="shared" si="0"/>
        <v>#DIV/0!</v>
      </c>
    </row>
    <row r="52" spans="1:6" ht="16.5" x14ac:dyDescent="0.45">
      <c r="A52" s="19"/>
      <c r="B52" s="20"/>
      <c r="C52" s="20"/>
      <c r="D52" s="6" t="e">
        <f>B72</f>
        <v>#DIV/0!</v>
      </c>
      <c r="E52" s="7" t="e">
        <f>C72</f>
        <v>#DIV/0!</v>
      </c>
      <c r="F52" s="12" t="e">
        <f t="shared" si="0"/>
        <v>#DIV/0!</v>
      </c>
    </row>
    <row r="53" spans="1:6" ht="16.5" x14ac:dyDescent="0.45">
      <c r="A53" s="19"/>
      <c r="B53" s="20"/>
      <c r="C53" s="20"/>
      <c r="D53" s="6" t="e">
        <f>B72</f>
        <v>#DIV/0!</v>
      </c>
      <c r="E53" s="7" t="e">
        <f>C72</f>
        <v>#DIV/0!</v>
      </c>
      <c r="F53" s="12" t="e">
        <f t="shared" si="0"/>
        <v>#DIV/0!</v>
      </c>
    </row>
    <row r="54" spans="1:6" x14ac:dyDescent="0.35">
      <c r="A54" s="21"/>
      <c r="B54" s="22"/>
      <c r="C54" s="23"/>
      <c r="D54" s="6" t="e">
        <f>B72</f>
        <v>#DIV/0!</v>
      </c>
      <c r="E54" s="7" t="e">
        <f>C72</f>
        <v>#DIV/0!</v>
      </c>
      <c r="F54" s="12" t="e">
        <f t="shared" si="0"/>
        <v>#DIV/0!</v>
      </c>
    </row>
    <row r="55" spans="1:6" x14ac:dyDescent="0.35">
      <c r="A55" s="21"/>
      <c r="B55" s="22"/>
      <c r="C55" s="23"/>
      <c r="D55" s="6" t="e">
        <f>B72</f>
        <v>#DIV/0!</v>
      </c>
      <c r="E55" s="7" t="e">
        <f>C72</f>
        <v>#DIV/0!</v>
      </c>
      <c r="F55" s="12" t="e">
        <f t="shared" si="0"/>
        <v>#DIV/0!</v>
      </c>
    </row>
    <row r="56" spans="1:6" x14ac:dyDescent="0.35">
      <c r="A56" s="21"/>
      <c r="B56" s="22"/>
      <c r="C56" s="23"/>
      <c r="D56" s="6" t="e">
        <f>B72</f>
        <v>#DIV/0!</v>
      </c>
      <c r="E56" s="7" t="e">
        <f>C72</f>
        <v>#DIV/0!</v>
      </c>
      <c r="F56" s="12" t="e">
        <f t="shared" si="0"/>
        <v>#DIV/0!</v>
      </c>
    </row>
    <row r="57" spans="1:6" x14ac:dyDescent="0.35">
      <c r="A57" s="21"/>
      <c r="B57" s="22"/>
      <c r="C57" s="23"/>
      <c r="D57" s="6" t="e">
        <f>B72</f>
        <v>#DIV/0!</v>
      </c>
      <c r="E57" s="7" t="e">
        <f>C72</f>
        <v>#DIV/0!</v>
      </c>
      <c r="F57" s="12" t="e">
        <f t="shared" si="0"/>
        <v>#DIV/0!</v>
      </c>
    </row>
    <row r="58" spans="1:6" x14ac:dyDescent="0.35">
      <c r="A58" s="21"/>
      <c r="B58" s="22"/>
      <c r="C58" s="23"/>
      <c r="D58" s="6" t="e">
        <f>B72</f>
        <v>#DIV/0!</v>
      </c>
      <c r="E58" s="7" t="e">
        <f>C72</f>
        <v>#DIV/0!</v>
      </c>
      <c r="F58" s="12" t="e">
        <f t="shared" si="0"/>
        <v>#DIV/0!</v>
      </c>
    </row>
    <row r="59" spans="1:6" x14ac:dyDescent="0.35">
      <c r="A59" s="21"/>
      <c r="B59" s="22"/>
      <c r="C59" s="23"/>
      <c r="D59" s="6" t="e">
        <f>B72</f>
        <v>#DIV/0!</v>
      </c>
      <c r="E59" s="7" t="e">
        <f>C72</f>
        <v>#DIV/0!</v>
      </c>
      <c r="F59" s="12" t="e">
        <f t="shared" si="0"/>
        <v>#DIV/0!</v>
      </c>
    </row>
    <row r="60" spans="1:6" x14ac:dyDescent="0.35">
      <c r="A60" s="21"/>
      <c r="B60" s="22"/>
      <c r="C60" s="23"/>
      <c r="D60" s="6" t="e">
        <f>B72</f>
        <v>#DIV/0!</v>
      </c>
      <c r="E60" s="7" t="e">
        <f>C72</f>
        <v>#DIV/0!</v>
      </c>
      <c r="F60" s="12" t="e">
        <f t="shared" si="0"/>
        <v>#DIV/0!</v>
      </c>
    </row>
    <row r="61" spans="1:6" x14ac:dyDescent="0.35">
      <c r="A61" s="21"/>
      <c r="B61" s="22"/>
      <c r="C61" s="23"/>
      <c r="D61" s="6" t="e">
        <f>B72</f>
        <v>#DIV/0!</v>
      </c>
      <c r="E61" s="7" t="e">
        <f>C72</f>
        <v>#DIV/0!</v>
      </c>
      <c r="F61" s="12" t="e">
        <f t="shared" si="0"/>
        <v>#DIV/0!</v>
      </c>
    </row>
    <row r="62" spans="1:6" x14ac:dyDescent="0.35">
      <c r="A62" s="21"/>
      <c r="B62" s="22"/>
      <c r="C62" s="23"/>
      <c r="D62" s="6" t="e">
        <f>B72</f>
        <v>#DIV/0!</v>
      </c>
      <c r="E62" s="7" t="e">
        <f>C72</f>
        <v>#DIV/0!</v>
      </c>
      <c r="F62" s="12" t="e">
        <f t="shared" si="0"/>
        <v>#DIV/0!</v>
      </c>
    </row>
    <row r="63" spans="1:6" x14ac:dyDescent="0.35">
      <c r="A63" s="21"/>
      <c r="B63" s="22"/>
      <c r="C63" s="23"/>
      <c r="D63" s="6" t="e">
        <f>B72</f>
        <v>#DIV/0!</v>
      </c>
      <c r="E63" s="7" t="e">
        <f>C72</f>
        <v>#DIV/0!</v>
      </c>
      <c r="F63" s="12" t="e">
        <f t="shared" si="0"/>
        <v>#DIV/0!</v>
      </c>
    </row>
    <row r="64" spans="1:6" x14ac:dyDescent="0.35">
      <c r="A64" s="21"/>
      <c r="B64" s="22"/>
      <c r="C64" s="23"/>
      <c r="D64" s="6" t="e">
        <f>B72</f>
        <v>#DIV/0!</v>
      </c>
      <c r="E64" s="7" t="e">
        <f>C72</f>
        <v>#DIV/0!</v>
      </c>
      <c r="F64" s="12" t="e">
        <f t="shared" si="0"/>
        <v>#DIV/0!</v>
      </c>
    </row>
    <row r="65" spans="1:6" x14ac:dyDescent="0.35">
      <c r="A65" s="21"/>
      <c r="B65" s="22"/>
      <c r="C65" s="23"/>
      <c r="D65" s="6" t="e">
        <f>B72</f>
        <v>#DIV/0!</v>
      </c>
      <c r="E65" s="7" t="e">
        <f>C72</f>
        <v>#DIV/0!</v>
      </c>
      <c r="F65" s="12" t="e">
        <f t="shared" si="0"/>
        <v>#DIV/0!</v>
      </c>
    </row>
    <row r="66" spans="1:6" x14ac:dyDescent="0.35">
      <c r="A66" s="21"/>
      <c r="B66" s="22"/>
      <c r="C66" s="23"/>
      <c r="D66" s="6" t="e">
        <f>B72</f>
        <v>#DIV/0!</v>
      </c>
      <c r="E66" s="7" t="e">
        <f>C72</f>
        <v>#DIV/0!</v>
      </c>
      <c r="F66" s="12" t="e">
        <f t="shared" si="0"/>
        <v>#DIV/0!</v>
      </c>
    </row>
    <row r="67" spans="1:6" x14ac:dyDescent="0.35">
      <c r="A67" s="21"/>
      <c r="B67" s="22"/>
      <c r="C67" s="23"/>
      <c r="D67" s="6" t="e">
        <f>B72</f>
        <v>#DIV/0!</v>
      </c>
      <c r="E67" s="7" t="e">
        <f>C72</f>
        <v>#DIV/0!</v>
      </c>
      <c r="F67" s="12" t="e">
        <f t="shared" si="0"/>
        <v>#DIV/0!</v>
      </c>
    </row>
    <row r="68" spans="1:6" x14ac:dyDescent="0.35">
      <c r="A68" s="21"/>
      <c r="B68" s="22"/>
      <c r="C68" s="23"/>
      <c r="D68" s="6" t="e">
        <f>B72</f>
        <v>#DIV/0!</v>
      </c>
      <c r="E68" s="7" t="e">
        <f>C72</f>
        <v>#DIV/0!</v>
      </c>
      <c r="F68" s="12" t="e">
        <f t="shared" si="0"/>
        <v>#DIV/0!</v>
      </c>
    </row>
    <row r="69" spans="1:6" x14ac:dyDescent="0.35">
      <c r="A69" s="15"/>
      <c r="B69" s="16"/>
      <c r="C69" s="17"/>
      <c r="D69" s="6"/>
      <c r="E69" s="7"/>
      <c r="F69" s="18"/>
    </row>
    <row r="70" spans="1:6" x14ac:dyDescent="0.35">
      <c r="A70" s="15"/>
      <c r="B70" s="16"/>
      <c r="C70" s="17"/>
      <c r="D70" s="6"/>
      <c r="E70" s="7"/>
      <c r="F70" s="18"/>
    </row>
    <row r="71" spans="1:6" x14ac:dyDescent="0.35">
      <c r="A71" s="15"/>
      <c r="B71" s="16"/>
      <c r="C71" s="17"/>
      <c r="D71" s="6"/>
      <c r="E71" s="7"/>
      <c r="F71" s="18"/>
    </row>
    <row r="72" spans="1:6" x14ac:dyDescent="0.35">
      <c r="A72" s="13" t="s">
        <v>26</v>
      </c>
      <c r="B72" s="8" t="e">
        <f>AVERAGE(B19:B68)</f>
        <v>#DIV/0!</v>
      </c>
      <c r="C72" s="8" t="e">
        <f>AVERAGE(C19:C68)</f>
        <v>#DIV/0!</v>
      </c>
      <c r="D72" s="6"/>
      <c r="E72" s="7"/>
    </row>
    <row r="73" spans="1:6" x14ac:dyDescent="0.35">
      <c r="A73" s="13" t="s">
        <v>27</v>
      </c>
      <c r="B73" s="8" t="e">
        <f>B72-1.1*(MAX(MAX(B19:B68)-B72,B72-MIN(B19:B35)))</f>
        <v>#DIV/0!</v>
      </c>
      <c r="C73" s="8" t="e">
        <f>C72-1.18*(MAX(MAX(C19:C68)-C72,C72-MIN(C19:C35)))</f>
        <v>#DIV/0!</v>
      </c>
      <c r="D73" s="6"/>
    </row>
    <row r="74" spans="1:6" x14ac:dyDescent="0.35">
      <c r="A74" s="13" t="s">
        <v>28</v>
      </c>
      <c r="B74" s="8" t="e">
        <f>B72+1.1*(MAX(MAX(B19:B68)-B72,B72-MIN(B19:B35)))</f>
        <v>#DIV/0!</v>
      </c>
      <c r="C74" s="8" t="e">
        <f>C72+1.18*(MAX(MAX(C19:C68)-C72,C72-MIN(C19:C35)))</f>
        <v>#DIV/0!</v>
      </c>
      <c r="D74" s="6"/>
    </row>
    <row r="75" spans="1:6" x14ac:dyDescent="0.35">
      <c r="D75" s="6"/>
    </row>
    <row r="76" spans="1:6" x14ac:dyDescent="0.35">
      <c r="B76" s="10"/>
      <c r="C76" s="10"/>
      <c r="D76" s="10"/>
    </row>
    <row r="77" spans="1:6" x14ac:dyDescent="0.35">
      <c r="B77" s="10"/>
      <c r="C77" s="10"/>
      <c r="D77" s="10"/>
    </row>
    <row r="78" spans="1:6" x14ac:dyDescent="0.35">
      <c r="D78" s="6"/>
    </row>
    <row r="79" spans="1:6" x14ac:dyDescent="0.35">
      <c r="D79" s="6"/>
    </row>
    <row r="80" spans="1:6" x14ac:dyDescent="0.35">
      <c r="D80" s="6"/>
    </row>
    <row r="81" spans="4:4" x14ac:dyDescent="0.35">
      <c r="D81" s="6"/>
    </row>
    <row r="82" spans="4:4" x14ac:dyDescent="0.35">
      <c r="D82" s="6"/>
    </row>
    <row r="83" spans="4:4" x14ac:dyDescent="0.35">
      <c r="D83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6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AE24-82AC-4DA3-A7FE-1CE235FCD8DC}">
  <sheetPr codeName="Sheet12"/>
  <dimension ref="A1:G83"/>
  <sheetViews>
    <sheetView topLeftCell="A32" zoomScaleNormal="100" workbookViewId="0">
      <selection activeCell="A13" sqref="A13"/>
    </sheetView>
  </sheetViews>
  <sheetFormatPr defaultColWidth="8.75" defaultRowHeight="14.5" x14ac:dyDescent="0.35"/>
  <cols>
    <col min="1" max="1" width="38.25" style="2" customWidth="1"/>
    <col min="2" max="6" width="8.75" style="2"/>
    <col min="7" max="7" width="158.33203125" style="2" customWidth="1"/>
    <col min="8" max="8" width="8.75" style="2"/>
    <col min="9" max="9" width="147.33203125" style="2" customWidth="1"/>
    <col min="10" max="16384" width="8.75" style="2"/>
  </cols>
  <sheetData>
    <row r="1" spans="1:7" x14ac:dyDescent="0.35">
      <c r="A1" s="25" t="s">
        <v>0</v>
      </c>
      <c r="B1" s="10"/>
      <c r="C1" s="10"/>
      <c r="D1" s="10"/>
      <c r="E1" s="1"/>
      <c r="F1" s="11"/>
    </row>
    <row r="2" spans="1:7" x14ac:dyDescent="0.35">
      <c r="A2" s="26"/>
      <c r="B2" s="10"/>
      <c r="C2" s="10"/>
      <c r="D2" s="10"/>
      <c r="E2" s="1"/>
      <c r="F2" s="11"/>
    </row>
    <row r="3" spans="1:7" ht="18.5" x14ac:dyDescent="0.45">
      <c r="A3" s="26" t="s">
        <v>1</v>
      </c>
      <c r="B3" s="10"/>
      <c r="C3" s="10"/>
      <c r="D3" s="10"/>
      <c r="E3" s="1"/>
      <c r="F3" s="11"/>
      <c r="G3" s="14" t="s">
        <v>2</v>
      </c>
    </row>
    <row r="4" spans="1:7" ht="18.5" x14ac:dyDescent="0.45">
      <c r="A4" s="26" t="s">
        <v>3</v>
      </c>
      <c r="B4" s="10"/>
      <c r="C4" s="10"/>
      <c r="D4" s="10"/>
      <c r="E4" s="10"/>
      <c r="F4" s="11"/>
      <c r="G4" s="14" t="s">
        <v>4</v>
      </c>
    </row>
    <row r="5" spans="1:7" ht="18.5" x14ac:dyDescent="0.45">
      <c r="A5" s="26"/>
      <c r="B5" s="10"/>
      <c r="C5" s="10"/>
      <c r="D5" s="10"/>
      <c r="E5" s="10"/>
      <c r="F5" s="11"/>
      <c r="G5" s="14" t="s">
        <v>5</v>
      </c>
    </row>
    <row r="6" spans="1:7" ht="18.5" x14ac:dyDescent="0.45">
      <c r="A6" s="26" t="s">
        <v>6</v>
      </c>
      <c r="B6" s="10"/>
      <c r="C6" s="10"/>
      <c r="D6" s="10"/>
      <c r="E6" s="10"/>
      <c r="F6" s="11"/>
      <c r="G6" s="14" t="s">
        <v>7</v>
      </c>
    </row>
    <row r="7" spans="1:7" ht="18.5" x14ac:dyDescent="0.45">
      <c r="A7" s="26"/>
      <c r="B7" s="10"/>
      <c r="C7" s="10"/>
      <c r="D7" s="10"/>
      <c r="E7" s="10"/>
      <c r="F7" s="11"/>
      <c r="G7" s="14"/>
    </row>
    <row r="8" spans="1:7" ht="18.5" x14ac:dyDescent="0.45">
      <c r="A8" s="25" t="s">
        <v>8</v>
      </c>
      <c r="B8" s="10"/>
      <c r="C8" s="10"/>
      <c r="D8" s="10"/>
      <c r="E8" s="10"/>
      <c r="F8" s="11"/>
      <c r="G8" s="14" t="s">
        <v>9</v>
      </c>
    </row>
    <row r="9" spans="1:7" ht="18.5" x14ac:dyDescent="0.45">
      <c r="A9" s="134" t="s">
        <v>10</v>
      </c>
      <c r="B9" s="135" t="s">
        <v>11</v>
      </c>
      <c r="C9" s="10"/>
      <c r="D9" s="10"/>
      <c r="E9" s="10"/>
      <c r="F9" s="11"/>
      <c r="G9" s="24"/>
    </row>
    <row r="10" spans="1:7" ht="18.5" x14ac:dyDescent="0.45">
      <c r="A10" s="134" t="s">
        <v>13</v>
      </c>
      <c r="B10" s="135" t="s">
        <v>14</v>
      </c>
      <c r="C10" s="10"/>
      <c r="D10" s="10"/>
      <c r="E10" s="10"/>
      <c r="F10" s="11"/>
      <c r="G10" s="24"/>
    </row>
    <row r="11" spans="1:7" x14ac:dyDescent="0.35">
      <c r="A11" s="10"/>
      <c r="B11" s="10"/>
      <c r="C11" s="10"/>
      <c r="D11" s="10"/>
      <c r="E11" s="10"/>
      <c r="F11" s="11"/>
    </row>
    <row r="12" spans="1:7" x14ac:dyDescent="0.35">
      <c r="A12" s="25" t="s">
        <v>15</v>
      </c>
      <c r="B12" s="9"/>
      <c r="C12" s="10"/>
      <c r="D12" s="10"/>
      <c r="E12" s="10"/>
      <c r="F12" s="11"/>
    </row>
    <row r="13" spans="1:7" x14ac:dyDescent="0.35">
      <c r="A13" s="134" t="s">
        <v>16</v>
      </c>
      <c r="B13" s="135" t="s">
        <v>17</v>
      </c>
      <c r="C13" s="10"/>
      <c r="D13" s="134" t="s">
        <v>18</v>
      </c>
      <c r="E13" s="135" t="s">
        <v>17</v>
      </c>
      <c r="F13" s="11"/>
    </row>
    <row r="14" spans="1:7" x14ac:dyDescent="0.35">
      <c r="A14" s="134" t="s">
        <v>19</v>
      </c>
      <c r="B14" s="135" t="s">
        <v>17</v>
      </c>
      <c r="C14" s="10"/>
      <c r="D14" s="134" t="s">
        <v>20</v>
      </c>
      <c r="E14" s="135" t="s">
        <v>17</v>
      </c>
      <c r="F14" s="11"/>
    </row>
    <row r="15" spans="1:7" x14ac:dyDescent="0.35">
      <c r="A15" s="10"/>
      <c r="B15" s="10"/>
      <c r="C15" s="10"/>
      <c r="D15" s="10"/>
      <c r="E15" s="10"/>
      <c r="F15" s="11"/>
    </row>
    <row r="16" spans="1:7" x14ac:dyDescent="0.35">
      <c r="A16" s="10"/>
      <c r="B16" s="10"/>
      <c r="C16" s="10"/>
      <c r="D16" s="10"/>
      <c r="E16" s="10"/>
      <c r="F16" s="11"/>
    </row>
    <row r="17" spans="1:6" x14ac:dyDescent="0.35">
      <c r="A17" s="10"/>
      <c r="B17" s="10"/>
      <c r="C17" s="10"/>
      <c r="D17" s="10"/>
      <c r="E17" s="10"/>
      <c r="F17" s="11"/>
    </row>
    <row r="18" spans="1:6" x14ac:dyDescent="0.35">
      <c r="A18" s="10"/>
      <c r="B18" s="3" t="s">
        <v>21</v>
      </c>
      <c r="C18" s="4" t="s">
        <v>22</v>
      </c>
      <c r="D18" s="5" t="s">
        <v>23</v>
      </c>
      <c r="E18" s="5" t="s">
        <v>24</v>
      </c>
      <c r="F18" s="5" t="s">
        <v>25</v>
      </c>
    </row>
    <row r="19" spans="1:6" ht="16.5" x14ac:dyDescent="0.45">
      <c r="A19" s="19"/>
      <c r="B19" s="20"/>
      <c r="C19" s="20"/>
      <c r="D19" s="6" t="e">
        <f>B72</f>
        <v>#DIV/0!</v>
      </c>
      <c r="E19" s="7" t="e">
        <f>C72</f>
        <v>#DIV/0!</v>
      </c>
      <c r="F19" s="12" t="e">
        <f>IF(AND(B19&lt;D19,C19&lt;E19),"Blue",(IF(AND(B19&lt;D19,C19&gt;E19),"Red",(IF(AND(B19&gt;D19,C19&gt;E19),"Green",(IF(AND(B19&gt;D19,C19&lt;E19),"Yellow")))))))</f>
        <v>#DIV/0!</v>
      </c>
    </row>
    <row r="20" spans="1:6" ht="16.5" x14ac:dyDescent="0.45">
      <c r="A20" s="19"/>
      <c r="B20" s="20"/>
      <c r="C20" s="20"/>
      <c r="D20" s="6" t="e">
        <f>B72</f>
        <v>#DIV/0!</v>
      </c>
      <c r="E20" s="7" t="e">
        <f>C72</f>
        <v>#DIV/0!</v>
      </c>
      <c r="F20" s="12" t="e">
        <f t="shared" ref="F20:F68" si="0">IF(AND(B20&lt;D20,C20&lt;E20),"Blue",(IF(AND(B20&lt;D20,C20&gt;E20),"Red",(IF(AND(B20&gt;D20,C20&gt;E20),"Green",(IF(AND(B20&gt;D20,C20&lt;E20),"Yellow")))))))</f>
        <v>#DIV/0!</v>
      </c>
    </row>
    <row r="21" spans="1:6" ht="16.5" x14ac:dyDescent="0.45">
      <c r="A21" s="19"/>
      <c r="B21" s="20"/>
      <c r="C21" s="20"/>
      <c r="D21" s="6" t="e">
        <f>B72</f>
        <v>#DIV/0!</v>
      </c>
      <c r="E21" s="7" t="e">
        <f>C72</f>
        <v>#DIV/0!</v>
      </c>
      <c r="F21" s="12" t="e">
        <f t="shared" si="0"/>
        <v>#DIV/0!</v>
      </c>
    </row>
    <row r="22" spans="1:6" ht="16.5" x14ac:dyDescent="0.45">
      <c r="A22" s="19"/>
      <c r="B22" s="20"/>
      <c r="C22" s="20"/>
      <c r="D22" s="6" t="e">
        <f>B72</f>
        <v>#DIV/0!</v>
      </c>
      <c r="E22" s="7" t="e">
        <f>C72</f>
        <v>#DIV/0!</v>
      </c>
      <c r="F22" s="12" t="e">
        <f t="shared" si="0"/>
        <v>#DIV/0!</v>
      </c>
    </row>
    <row r="23" spans="1:6" ht="16.5" x14ac:dyDescent="0.45">
      <c r="A23" s="19"/>
      <c r="B23" s="20"/>
      <c r="C23" s="20"/>
      <c r="D23" s="6" t="e">
        <f>B72</f>
        <v>#DIV/0!</v>
      </c>
      <c r="E23" s="7" t="e">
        <f>C72</f>
        <v>#DIV/0!</v>
      </c>
      <c r="F23" s="12" t="e">
        <f>IF(AND(B23&lt;D23,C23&lt;E23),"Blue",(IF(AND(B23&lt;D23,C23&gt;E23),"Red",(IF(AND(B23&gt;D23,C23&gt;E23),"Green",(IF(AND(B23&gt;D23,C23&lt;E23),"Yellow")))))))</f>
        <v>#DIV/0!</v>
      </c>
    </row>
    <row r="24" spans="1:6" ht="16.5" x14ac:dyDescent="0.45">
      <c r="A24" s="19"/>
      <c r="B24" s="20"/>
      <c r="C24" s="20"/>
      <c r="D24" s="6" t="e">
        <f>B72</f>
        <v>#DIV/0!</v>
      </c>
      <c r="E24" s="7" t="e">
        <f>C72</f>
        <v>#DIV/0!</v>
      </c>
      <c r="F24" s="12" t="e">
        <f t="shared" si="0"/>
        <v>#DIV/0!</v>
      </c>
    </row>
    <row r="25" spans="1:6" ht="16.5" x14ac:dyDescent="0.45">
      <c r="A25" s="19"/>
      <c r="B25" s="20"/>
      <c r="C25" s="20"/>
      <c r="D25" s="6" t="e">
        <f>B72</f>
        <v>#DIV/0!</v>
      </c>
      <c r="E25" s="7" t="e">
        <f>C72</f>
        <v>#DIV/0!</v>
      </c>
      <c r="F25" s="12" t="e">
        <f t="shared" si="0"/>
        <v>#DIV/0!</v>
      </c>
    </row>
    <row r="26" spans="1:6" ht="16.5" x14ac:dyDescent="0.45">
      <c r="A26" s="19"/>
      <c r="B26" s="20"/>
      <c r="C26" s="20"/>
      <c r="D26" s="6" t="e">
        <f>B72</f>
        <v>#DIV/0!</v>
      </c>
      <c r="E26" s="7" t="e">
        <f>C72</f>
        <v>#DIV/0!</v>
      </c>
      <c r="F26" s="12" t="e">
        <f t="shared" si="0"/>
        <v>#DIV/0!</v>
      </c>
    </row>
    <row r="27" spans="1:6" ht="16.5" x14ac:dyDescent="0.45">
      <c r="A27" s="19"/>
      <c r="B27" s="20"/>
      <c r="C27" s="20"/>
      <c r="D27" s="6" t="e">
        <f>B72</f>
        <v>#DIV/0!</v>
      </c>
      <c r="E27" s="7" t="e">
        <f>C72</f>
        <v>#DIV/0!</v>
      </c>
      <c r="F27" s="12" t="e">
        <f t="shared" si="0"/>
        <v>#DIV/0!</v>
      </c>
    </row>
    <row r="28" spans="1:6" ht="16.5" x14ac:dyDescent="0.45">
      <c r="A28" s="19"/>
      <c r="B28" s="20"/>
      <c r="C28" s="20"/>
      <c r="D28" s="6" t="e">
        <f>B72</f>
        <v>#DIV/0!</v>
      </c>
      <c r="E28" s="7" t="e">
        <f>C72</f>
        <v>#DIV/0!</v>
      </c>
      <c r="F28" s="12" t="e">
        <f t="shared" si="0"/>
        <v>#DIV/0!</v>
      </c>
    </row>
    <row r="29" spans="1:6" ht="16.5" x14ac:dyDescent="0.45">
      <c r="A29" s="19"/>
      <c r="B29" s="20"/>
      <c r="C29" s="20"/>
      <c r="D29" s="6" t="e">
        <f>B72</f>
        <v>#DIV/0!</v>
      </c>
      <c r="E29" s="7" t="e">
        <f>C72</f>
        <v>#DIV/0!</v>
      </c>
      <c r="F29" s="12" t="e">
        <f t="shared" si="0"/>
        <v>#DIV/0!</v>
      </c>
    </row>
    <row r="30" spans="1:6" ht="16.5" x14ac:dyDescent="0.45">
      <c r="A30" s="19"/>
      <c r="B30" s="20"/>
      <c r="C30" s="20"/>
      <c r="D30" s="6" t="e">
        <f>B72</f>
        <v>#DIV/0!</v>
      </c>
      <c r="E30" s="7" t="e">
        <f>C72</f>
        <v>#DIV/0!</v>
      </c>
      <c r="F30" s="12" t="e">
        <f t="shared" si="0"/>
        <v>#DIV/0!</v>
      </c>
    </row>
    <row r="31" spans="1:6" ht="16.5" x14ac:dyDescent="0.45">
      <c r="A31" s="19"/>
      <c r="B31" s="20"/>
      <c r="C31" s="20"/>
      <c r="D31" s="6" t="e">
        <f>B72</f>
        <v>#DIV/0!</v>
      </c>
      <c r="E31" s="7" t="e">
        <f>C72</f>
        <v>#DIV/0!</v>
      </c>
      <c r="F31" s="12" t="e">
        <f t="shared" si="0"/>
        <v>#DIV/0!</v>
      </c>
    </row>
    <row r="32" spans="1:6" ht="16.5" x14ac:dyDescent="0.45">
      <c r="A32" s="19"/>
      <c r="B32" s="20"/>
      <c r="C32" s="20"/>
      <c r="D32" s="6" t="e">
        <f>B72</f>
        <v>#DIV/0!</v>
      </c>
      <c r="E32" s="7" t="e">
        <f>C72</f>
        <v>#DIV/0!</v>
      </c>
      <c r="F32" s="12" t="e">
        <f t="shared" si="0"/>
        <v>#DIV/0!</v>
      </c>
    </row>
    <row r="33" spans="1:6" ht="16.5" x14ac:dyDescent="0.45">
      <c r="A33" s="19"/>
      <c r="B33" s="20"/>
      <c r="C33" s="20"/>
      <c r="D33" s="6" t="e">
        <f>B72</f>
        <v>#DIV/0!</v>
      </c>
      <c r="E33" s="7" t="e">
        <f>C72</f>
        <v>#DIV/0!</v>
      </c>
      <c r="F33" s="12" t="e">
        <f t="shared" si="0"/>
        <v>#DIV/0!</v>
      </c>
    </row>
    <row r="34" spans="1:6" ht="16.5" x14ac:dyDescent="0.45">
      <c r="A34" s="19"/>
      <c r="B34" s="20"/>
      <c r="C34" s="20"/>
      <c r="D34" s="6" t="e">
        <f>B72</f>
        <v>#DIV/0!</v>
      </c>
      <c r="E34" s="7" t="e">
        <f>C72</f>
        <v>#DIV/0!</v>
      </c>
      <c r="F34" s="12" t="e">
        <f t="shared" si="0"/>
        <v>#DIV/0!</v>
      </c>
    </row>
    <row r="35" spans="1:6" ht="16.5" x14ac:dyDescent="0.45">
      <c r="A35" s="19"/>
      <c r="B35" s="20"/>
      <c r="C35" s="20"/>
      <c r="D35" s="6" t="e">
        <f>B72</f>
        <v>#DIV/0!</v>
      </c>
      <c r="E35" s="7" t="e">
        <f>C72</f>
        <v>#DIV/0!</v>
      </c>
      <c r="F35" s="12" t="e">
        <f t="shared" si="0"/>
        <v>#DIV/0!</v>
      </c>
    </row>
    <row r="36" spans="1:6" ht="16.5" x14ac:dyDescent="0.45">
      <c r="A36" s="19"/>
      <c r="B36" s="20"/>
      <c r="C36" s="20"/>
      <c r="D36" s="6" t="e">
        <f>B72</f>
        <v>#DIV/0!</v>
      </c>
      <c r="E36" s="7" t="e">
        <f>C72</f>
        <v>#DIV/0!</v>
      </c>
      <c r="F36" s="12" t="e">
        <f t="shared" si="0"/>
        <v>#DIV/0!</v>
      </c>
    </row>
    <row r="37" spans="1:6" ht="16.5" x14ac:dyDescent="0.45">
      <c r="A37" s="19"/>
      <c r="B37" s="20"/>
      <c r="C37" s="20"/>
      <c r="D37" s="6" t="e">
        <f>B72</f>
        <v>#DIV/0!</v>
      </c>
      <c r="E37" s="7" t="e">
        <f>C72</f>
        <v>#DIV/0!</v>
      </c>
      <c r="F37" s="12" t="e">
        <f t="shared" si="0"/>
        <v>#DIV/0!</v>
      </c>
    </row>
    <row r="38" spans="1:6" ht="16.5" x14ac:dyDescent="0.45">
      <c r="A38" s="19"/>
      <c r="B38" s="20"/>
      <c r="C38" s="20"/>
      <c r="D38" s="6" t="e">
        <f>B72</f>
        <v>#DIV/0!</v>
      </c>
      <c r="E38" s="7" t="e">
        <f>C72</f>
        <v>#DIV/0!</v>
      </c>
      <c r="F38" s="12" t="e">
        <f t="shared" si="0"/>
        <v>#DIV/0!</v>
      </c>
    </row>
    <row r="39" spans="1:6" ht="16.5" x14ac:dyDescent="0.45">
      <c r="A39" s="19"/>
      <c r="B39" s="20"/>
      <c r="C39" s="20"/>
      <c r="D39" s="6" t="e">
        <f>B72</f>
        <v>#DIV/0!</v>
      </c>
      <c r="E39" s="7" t="e">
        <f>C72</f>
        <v>#DIV/0!</v>
      </c>
      <c r="F39" s="12" t="e">
        <f t="shared" si="0"/>
        <v>#DIV/0!</v>
      </c>
    </row>
    <row r="40" spans="1:6" ht="16.5" x14ac:dyDescent="0.45">
      <c r="A40" s="19"/>
      <c r="B40" s="20"/>
      <c r="C40" s="20"/>
      <c r="D40" s="6" t="e">
        <f>B72</f>
        <v>#DIV/0!</v>
      </c>
      <c r="E40" s="7" t="e">
        <f>C72</f>
        <v>#DIV/0!</v>
      </c>
      <c r="F40" s="12" t="e">
        <f t="shared" si="0"/>
        <v>#DIV/0!</v>
      </c>
    </row>
    <row r="41" spans="1:6" ht="16.5" x14ac:dyDescent="0.45">
      <c r="A41" s="19"/>
      <c r="B41" s="20"/>
      <c r="C41" s="20"/>
      <c r="D41" s="6" t="e">
        <f>B72</f>
        <v>#DIV/0!</v>
      </c>
      <c r="E41" s="7" t="e">
        <f>C72</f>
        <v>#DIV/0!</v>
      </c>
      <c r="F41" s="12" t="e">
        <f t="shared" si="0"/>
        <v>#DIV/0!</v>
      </c>
    </row>
    <row r="42" spans="1:6" ht="16.5" x14ac:dyDescent="0.45">
      <c r="A42" s="19"/>
      <c r="B42" s="20"/>
      <c r="C42" s="20"/>
      <c r="D42" s="6" t="e">
        <f>B72</f>
        <v>#DIV/0!</v>
      </c>
      <c r="E42" s="7" t="e">
        <f>C72</f>
        <v>#DIV/0!</v>
      </c>
      <c r="F42" s="12" t="e">
        <f t="shared" si="0"/>
        <v>#DIV/0!</v>
      </c>
    </row>
    <row r="43" spans="1:6" ht="16.5" x14ac:dyDescent="0.45">
      <c r="A43" s="19"/>
      <c r="B43" s="20"/>
      <c r="C43" s="20"/>
      <c r="D43" s="6" t="e">
        <f>B72</f>
        <v>#DIV/0!</v>
      </c>
      <c r="E43" s="7" t="e">
        <f>C72</f>
        <v>#DIV/0!</v>
      </c>
      <c r="F43" s="12" t="e">
        <f t="shared" si="0"/>
        <v>#DIV/0!</v>
      </c>
    </row>
    <row r="44" spans="1:6" ht="16.5" x14ac:dyDescent="0.45">
      <c r="A44" s="19"/>
      <c r="B44" s="20"/>
      <c r="C44" s="20"/>
      <c r="D44" s="6" t="e">
        <f>B72</f>
        <v>#DIV/0!</v>
      </c>
      <c r="E44" s="7" t="e">
        <f>C72</f>
        <v>#DIV/0!</v>
      </c>
      <c r="F44" s="12" t="e">
        <f t="shared" si="0"/>
        <v>#DIV/0!</v>
      </c>
    </row>
    <row r="45" spans="1:6" ht="16.5" x14ac:dyDescent="0.45">
      <c r="A45" s="19"/>
      <c r="B45" s="20"/>
      <c r="C45" s="20"/>
      <c r="D45" s="6" t="e">
        <f>B72</f>
        <v>#DIV/0!</v>
      </c>
      <c r="E45" s="7" t="e">
        <f>C72</f>
        <v>#DIV/0!</v>
      </c>
      <c r="F45" s="12" t="e">
        <f t="shared" si="0"/>
        <v>#DIV/0!</v>
      </c>
    </row>
    <row r="46" spans="1:6" ht="16.5" x14ac:dyDescent="0.45">
      <c r="A46" s="19"/>
      <c r="B46" s="20"/>
      <c r="C46" s="20"/>
      <c r="D46" s="6" t="e">
        <f>B72</f>
        <v>#DIV/0!</v>
      </c>
      <c r="E46" s="7" t="e">
        <f>C72</f>
        <v>#DIV/0!</v>
      </c>
      <c r="F46" s="12" t="e">
        <f t="shared" si="0"/>
        <v>#DIV/0!</v>
      </c>
    </row>
    <row r="47" spans="1:6" ht="16.5" x14ac:dyDescent="0.45">
      <c r="A47" s="19"/>
      <c r="B47" s="20"/>
      <c r="C47" s="20"/>
      <c r="D47" s="6" t="e">
        <f>B72</f>
        <v>#DIV/0!</v>
      </c>
      <c r="E47" s="7" t="e">
        <f>C72</f>
        <v>#DIV/0!</v>
      </c>
      <c r="F47" s="12" t="e">
        <f t="shared" si="0"/>
        <v>#DIV/0!</v>
      </c>
    </row>
    <row r="48" spans="1:6" ht="16.5" x14ac:dyDescent="0.45">
      <c r="A48" s="19"/>
      <c r="B48" s="20"/>
      <c r="C48" s="20"/>
      <c r="D48" s="6" t="e">
        <f>B72</f>
        <v>#DIV/0!</v>
      </c>
      <c r="E48" s="7" t="e">
        <f>C72</f>
        <v>#DIV/0!</v>
      </c>
      <c r="F48" s="12" t="e">
        <f t="shared" si="0"/>
        <v>#DIV/0!</v>
      </c>
    </row>
    <row r="49" spans="1:6" ht="16.5" x14ac:dyDescent="0.45">
      <c r="A49" s="19"/>
      <c r="B49" s="20"/>
      <c r="C49" s="20"/>
      <c r="D49" s="6" t="e">
        <f>B72</f>
        <v>#DIV/0!</v>
      </c>
      <c r="E49" s="7" t="e">
        <f>C72</f>
        <v>#DIV/0!</v>
      </c>
      <c r="F49" s="12" t="e">
        <f t="shared" si="0"/>
        <v>#DIV/0!</v>
      </c>
    </row>
    <row r="50" spans="1:6" ht="16.5" x14ac:dyDescent="0.45">
      <c r="A50" s="19"/>
      <c r="B50" s="20"/>
      <c r="C50" s="20"/>
      <c r="D50" s="6" t="e">
        <f>B72</f>
        <v>#DIV/0!</v>
      </c>
      <c r="E50" s="7" t="e">
        <f>C72</f>
        <v>#DIV/0!</v>
      </c>
      <c r="F50" s="12" t="e">
        <f t="shared" si="0"/>
        <v>#DIV/0!</v>
      </c>
    </row>
    <row r="51" spans="1:6" ht="16.5" x14ac:dyDescent="0.45">
      <c r="A51" s="19"/>
      <c r="B51" s="20"/>
      <c r="C51" s="20"/>
      <c r="D51" s="6" t="e">
        <f>B72</f>
        <v>#DIV/0!</v>
      </c>
      <c r="E51" s="7" t="e">
        <f>C72</f>
        <v>#DIV/0!</v>
      </c>
      <c r="F51" s="12" t="e">
        <f t="shared" si="0"/>
        <v>#DIV/0!</v>
      </c>
    </row>
    <row r="52" spans="1:6" ht="16.5" x14ac:dyDescent="0.45">
      <c r="A52" s="19"/>
      <c r="B52" s="20"/>
      <c r="C52" s="20"/>
      <c r="D52" s="6" t="e">
        <f>B72</f>
        <v>#DIV/0!</v>
      </c>
      <c r="E52" s="7" t="e">
        <f>C72</f>
        <v>#DIV/0!</v>
      </c>
      <c r="F52" s="12" t="e">
        <f t="shared" si="0"/>
        <v>#DIV/0!</v>
      </c>
    </row>
    <row r="53" spans="1:6" ht="16.5" x14ac:dyDescent="0.45">
      <c r="A53" s="19"/>
      <c r="B53" s="20"/>
      <c r="C53" s="20"/>
      <c r="D53" s="6" t="e">
        <f>B72</f>
        <v>#DIV/0!</v>
      </c>
      <c r="E53" s="7" t="e">
        <f>C72</f>
        <v>#DIV/0!</v>
      </c>
      <c r="F53" s="12" t="e">
        <f t="shared" si="0"/>
        <v>#DIV/0!</v>
      </c>
    </row>
    <row r="54" spans="1:6" x14ac:dyDescent="0.35">
      <c r="A54" s="21"/>
      <c r="B54" s="22"/>
      <c r="C54" s="23"/>
      <c r="D54" s="6" t="e">
        <f>B72</f>
        <v>#DIV/0!</v>
      </c>
      <c r="E54" s="7" t="e">
        <f>C72</f>
        <v>#DIV/0!</v>
      </c>
      <c r="F54" s="12" t="e">
        <f t="shared" si="0"/>
        <v>#DIV/0!</v>
      </c>
    </row>
    <row r="55" spans="1:6" x14ac:dyDescent="0.35">
      <c r="A55" s="21"/>
      <c r="B55" s="22"/>
      <c r="C55" s="23"/>
      <c r="D55" s="6" t="e">
        <f>B72</f>
        <v>#DIV/0!</v>
      </c>
      <c r="E55" s="7" t="e">
        <f>C72</f>
        <v>#DIV/0!</v>
      </c>
      <c r="F55" s="12" t="e">
        <f t="shared" si="0"/>
        <v>#DIV/0!</v>
      </c>
    </row>
    <row r="56" spans="1:6" x14ac:dyDescent="0.35">
      <c r="A56" s="21"/>
      <c r="B56" s="22"/>
      <c r="C56" s="23"/>
      <c r="D56" s="6" t="e">
        <f>B72</f>
        <v>#DIV/0!</v>
      </c>
      <c r="E56" s="7" t="e">
        <f>C72</f>
        <v>#DIV/0!</v>
      </c>
      <c r="F56" s="12" t="e">
        <f t="shared" si="0"/>
        <v>#DIV/0!</v>
      </c>
    </row>
    <row r="57" spans="1:6" x14ac:dyDescent="0.35">
      <c r="A57" s="21"/>
      <c r="B57" s="22"/>
      <c r="C57" s="23"/>
      <c r="D57" s="6" t="e">
        <f>B72</f>
        <v>#DIV/0!</v>
      </c>
      <c r="E57" s="7" t="e">
        <f>C72</f>
        <v>#DIV/0!</v>
      </c>
      <c r="F57" s="12" t="e">
        <f t="shared" si="0"/>
        <v>#DIV/0!</v>
      </c>
    </row>
    <row r="58" spans="1:6" x14ac:dyDescent="0.35">
      <c r="A58" s="21"/>
      <c r="B58" s="22"/>
      <c r="C58" s="23"/>
      <c r="D58" s="6" t="e">
        <f>B72</f>
        <v>#DIV/0!</v>
      </c>
      <c r="E58" s="7" t="e">
        <f>C72</f>
        <v>#DIV/0!</v>
      </c>
      <c r="F58" s="12" t="e">
        <f t="shared" si="0"/>
        <v>#DIV/0!</v>
      </c>
    </row>
    <row r="59" spans="1:6" x14ac:dyDescent="0.35">
      <c r="A59" s="21"/>
      <c r="B59" s="22"/>
      <c r="C59" s="23"/>
      <c r="D59" s="6" t="e">
        <f>B72</f>
        <v>#DIV/0!</v>
      </c>
      <c r="E59" s="7" t="e">
        <f>C72</f>
        <v>#DIV/0!</v>
      </c>
      <c r="F59" s="12" t="e">
        <f t="shared" si="0"/>
        <v>#DIV/0!</v>
      </c>
    </row>
    <row r="60" spans="1:6" x14ac:dyDescent="0.35">
      <c r="A60" s="21"/>
      <c r="B60" s="22"/>
      <c r="C60" s="23"/>
      <c r="D60" s="6" t="e">
        <f>B72</f>
        <v>#DIV/0!</v>
      </c>
      <c r="E60" s="7" t="e">
        <f>C72</f>
        <v>#DIV/0!</v>
      </c>
      <c r="F60" s="12" t="e">
        <f t="shared" si="0"/>
        <v>#DIV/0!</v>
      </c>
    </row>
    <row r="61" spans="1:6" x14ac:dyDescent="0.35">
      <c r="A61" s="21"/>
      <c r="B61" s="22"/>
      <c r="C61" s="23"/>
      <c r="D61" s="6" t="e">
        <f>B72</f>
        <v>#DIV/0!</v>
      </c>
      <c r="E61" s="7" t="e">
        <f>C72</f>
        <v>#DIV/0!</v>
      </c>
      <c r="F61" s="12" t="e">
        <f t="shared" si="0"/>
        <v>#DIV/0!</v>
      </c>
    </row>
    <row r="62" spans="1:6" x14ac:dyDescent="0.35">
      <c r="A62" s="21"/>
      <c r="B62" s="22"/>
      <c r="C62" s="23"/>
      <c r="D62" s="6" t="e">
        <f>B72</f>
        <v>#DIV/0!</v>
      </c>
      <c r="E62" s="7" t="e">
        <f>C72</f>
        <v>#DIV/0!</v>
      </c>
      <c r="F62" s="12" t="e">
        <f t="shared" si="0"/>
        <v>#DIV/0!</v>
      </c>
    </row>
    <row r="63" spans="1:6" x14ac:dyDescent="0.35">
      <c r="A63" s="21"/>
      <c r="B63" s="22"/>
      <c r="C63" s="23"/>
      <c r="D63" s="6" t="e">
        <f>B72</f>
        <v>#DIV/0!</v>
      </c>
      <c r="E63" s="7" t="e">
        <f>C72</f>
        <v>#DIV/0!</v>
      </c>
      <c r="F63" s="12" t="e">
        <f t="shared" si="0"/>
        <v>#DIV/0!</v>
      </c>
    </row>
    <row r="64" spans="1:6" x14ac:dyDescent="0.35">
      <c r="A64" s="21"/>
      <c r="B64" s="22"/>
      <c r="C64" s="23"/>
      <c r="D64" s="6" t="e">
        <f>B72</f>
        <v>#DIV/0!</v>
      </c>
      <c r="E64" s="7" t="e">
        <f>C72</f>
        <v>#DIV/0!</v>
      </c>
      <c r="F64" s="12" t="e">
        <f t="shared" si="0"/>
        <v>#DIV/0!</v>
      </c>
    </row>
    <row r="65" spans="1:6" x14ac:dyDescent="0.35">
      <c r="A65" s="21"/>
      <c r="B65" s="22"/>
      <c r="C65" s="23"/>
      <c r="D65" s="6" t="e">
        <f>B72</f>
        <v>#DIV/0!</v>
      </c>
      <c r="E65" s="7" t="e">
        <f>C72</f>
        <v>#DIV/0!</v>
      </c>
      <c r="F65" s="12" t="e">
        <f t="shared" si="0"/>
        <v>#DIV/0!</v>
      </c>
    </row>
    <row r="66" spans="1:6" x14ac:dyDescent="0.35">
      <c r="A66" s="21"/>
      <c r="B66" s="22"/>
      <c r="C66" s="23"/>
      <c r="D66" s="6" t="e">
        <f>B72</f>
        <v>#DIV/0!</v>
      </c>
      <c r="E66" s="7" t="e">
        <f>C72</f>
        <v>#DIV/0!</v>
      </c>
      <c r="F66" s="12" t="e">
        <f t="shared" si="0"/>
        <v>#DIV/0!</v>
      </c>
    </row>
    <row r="67" spans="1:6" x14ac:dyDescent="0.35">
      <c r="A67" s="21"/>
      <c r="B67" s="22"/>
      <c r="C67" s="23"/>
      <c r="D67" s="6" t="e">
        <f>B72</f>
        <v>#DIV/0!</v>
      </c>
      <c r="E67" s="7" t="e">
        <f>C72</f>
        <v>#DIV/0!</v>
      </c>
      <c r="F67" s="12" t="e">
        <f t="shared" si="0"/>
        <v>#DIV/0!</v>
      </c>
    </row>
    <row r="68" spans="1:6" x14ac:dyDescent="0.35">
      <c r="A68" s="21"/>
      <c r="B68" s="22"/>
      <c r="C68" s="23"/>
      <c r="D68" s="6" t="e">
        <f>B72</f>
        <v>#DIV/0!</v>
      </c>
      <c r="E68" s="7" t="e">
        <f>C72</f>
        <v>#DIV/0!</v>
      </c>
      <c r="F68" s="12" t="e">
        <f t="shared" si="0"/>
        <v>#DIV/0!</v>
      </c>
    </row>
    <row r="69" spans="1:6" x14ac:dyDescent="0.35">
      <c r="A69" s="15"/>
      <c r="B69" s="16"/>
      <c r="C69" s="17"/>
      <c r="D69" s="6"/>
      <c r="E69" s="7"/>
      <c r="F69" s="18"/>
    </row>
    <row r="70" spans="1:6" x14ac:dyDescent="0.35">
      <c r="A70" s="15"/>
      <c r="B70" s="16"/>
      <c r="C70" s="17"/>
      <c r="D70" s="6"/>
      <c r="E70" s="7"/>
      <c r="F70" s="18"/>
    </row>
    <row r="71" spans="1:6" x14ac:dyDescent="0.35">
      <c r="A71" s="15"/>
      <c r="B71" s="16"/>
      <c r="C71" s="17"/>
      <c r="D71" s="6"/>
      <c r="E71" s="7"/>
      <c r="F71" s="18"/>
    </row>
    <row r="72" spans="1:6" x14ac:dyDescent="0.35">
      <c r="A72" s="13" t="s">
        <v>26</v>
      </c>
      <c r="B72" s="8" t="e">
        <f>AVERAGE(B19:B68)</f>
        <v>#DIV/0!</v>
      </c>
      <c r="C72" s="8" t="e">
        <f>AVERAGE(C19:C68)</f>
        <v>#DIV/0!</v>
      </c>
      <c r="D72" s="6"/>
      <c r="E72" s="7"/>
    </row>
    <row r="73" spans="1:6" x14ac:dyDescent="0.35">
      <c r="A73" s="13" t="s">
        <v>27</v>
      </c>
      <c r="B73" s="8" t="e">
        <f>B72-1.1*(MAX(MAX(B19:B68)-B72,B72-MIN(B19:B35)))</f>
        <v>#DIV/0!</v>
      </c>
      <c r="C73" s="8" t="e">
        <f>C72-1.18*(MAX(MAX(C19:C68)-C72,C72-MIN(C19:C35)))</f>
        <v>#DIV/0!</v>
      </c>
      <c r="D73" s="6"/>
    </row>
    <row r="74" spans="1:6" x14ac:dyDescent="0.35">
      <c r="A74" s="13" t="s">
        <v>28</v>
      </c>
      <c r="B74" s="8" t="e">
        <f>B72+1.1*(MAX(MAX(B19:B68)-B72,B72-MIN(B19:B35)))</f>
        <v>#DIV/0!</v>
      </c>
      <c r="C74" s="8" t="e">
        <f>C72+1.18*(MAX(MAX(C19:C68)-C72,C72-MIN(C19:C35)))</f>
        <v>#DIV/0!</v>
      </c>
      <c r="D74" s="6"/>
    </row>
    <row r="75" spans="1:6" x14ac:dyDescent="0.35">
      <c r="D75" s="6"/>
    </row>
    <row r="76" spans="1:6" x14ac:dyDescent="0.35">
      <c r="B76" s="10"/>
      <c r="C76" s="10"/>
      <c r="D76" s="10"/>
    </row>
    <row r="77" spans="1:6" x14ac:dyDescent="0.35">
      <c r="B77" s="10"/>
      <c r="C77" s="10"/>
      <c r="D77" s="10"/>
    </row>
    <row r="78" spans="1:6" x14ac:dyDescent="0.35">
      <c r="D78" s="6"/>
    </row>
    <row r="79" spans="1:6" x14ac:dyDescent="0.35">
      <c r="D79" s="6"/>
    </row>
    <row r="80" spans="1:6" x14ac:dyDescent="0.35">
      <c r="D80" s="6"/>
    </row>
    <row r="81" spans="4:4" x14ac:dyDescent="0.35">
      <c r="D81" s="6"/>
    </row>
    <row r="82" spans="4:4" x14ac:dyDescent="0.35">
      <c r="D82" s="6"/>
    </row>
    <row r="83" spans="4:4" x14ac:dyDescent="0.35">
      <c r="D83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6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557F3-D6A0-4057-9970-AE3FEBC96F3D}">
  <sheetPr codeName="Sheet13"/>
  <dimension ref="A1:G83"/>
  <sheetViews>
    <sheetView topLeftCell="A32" zoomScaleNormal="100" workbookViewId="0">
      <selection activeCell="A13" sqref="A13"/>
    </sheetView>
  </sheetViews>
  <sheetFormatPr defaultColWidth="8.75" defaultRowHeight="14.5" x14ac:dyDescent="0.35"/>
  <cols>
    <col min="1" max="1" width="38.25" style="2" customWidth="1"/>
    <col min="2" max="6" width="8.75" style="2"/>
    <col min="7" max="7" width="158.33203125" style="2" customWidth="1"/>
    <col min="8" max="8" width="8.75" style="2"/>
    <col min="9" max="9" width="147.33203125" style="2" customWidth="1"/>
    <col min="10" max="16384" width="8.75" style="2"/>
  </cols>
  <sheetData>
    <row r="1" spans="1:7" x14ac:dyDescent="0.35">
      <c r="A1" s="25" t="s">
        <v>0</v>
      </c>
      <c r="B1" s="10"/>
      <c r="C1" s="10"/>
      <c r="D1" s="10"/>
      <c r="E1" s="1"/>
      <c r="F1" s="11"/>
    </row>
    <row r="2" spans="1:7" x14ac:dyDescent="0.35">
      <c r="A2" s="26"/>
      <c r="B2" s="10"/>
      <c r="C2" s="10"/>
      <c r="D2" s="10"/>
      <c r="E2" s="1"/>
      <c r="F2" s="11"/>
    </row>
    <row r="3" spans="1:7" ht="18.5" x14ac:dyDescent="0.45">
      <c r="A3" s="26" t="s">
        <v>1</v>
      </c>
      <c r="B3" s="10"/>
      <c r="C3" s="10"/>
      <c r="D3" s="10"/>
      <c r="E3" s="1"/>
      <c r="F3" s="11"/>
      <c r="G3" s="14" t="s">
        <v>2</v>
      </c>
    </row>
    <row r="4" spans="1:7" ht="18.5" x14ac:dyDescent="0.45">
      <c r="A4" s="26" t="s">
        <v>3</v>
      </c>
      <c r="B4" s="10"/>
      <c r="C4" s="10"/>
      <c r="D4" s="10"/>
      <c r="E4" s="10"/>
      <c r="F4" s="11"/>
      <c r="G4" s="14" t="s">
        <v>4</v>
      </c>
    </row>
    <row r="5" spans="1:7" ht="18.5" x14ac:dyDescent="0.45">
      <c r="A5" s="26"/>
      <c r="B5" s="10"/>
      <c r="C5" s="10"/>
      <c r="D5" s="10"/>
      <c r="E5" s="10"/>
      <c r="F5" s="11"/>
      <c r="G5" s="14" t="s">
        <v>5</v>
      </c>
    </row>
    <row r="6" spans="1:7" ht="18.5" x14ac:dyDescent="0.45">
      <c r="A6" s="26" t="s">
        <v>6</v>
      </c>
      <c r="B6" s="10"/>
      <c r="C6" s="10"/>
      <c r="D6" s="10"/>
      <c r="E6" s="10"/>
      <c r="F6" s="11"/>
      <c r="G6" s="14" t="s">
        <v>7</v>
      </c>
    </row>
    <row r="7" spans="1:7" ht="18.5" x14ac:dyDescent="0.45">
      <c r="A7" s="26"/>
      <c r="B7" s="10"/>
      <c r="C7" s="10"/>
      <c r="D7" s="10"/>
      <c r="E7" s="10"/>
      <c r="F7" s="11"/>
      <c r="G7" s="14"/>
    </row>
    <row r="8" spans="1:7" ht="18.5" x14ac:dyDescent="0.45">
      <c r="A8" s="25" t="s">
        <v>8</v>
      </c>
      <c r="B8" s="10"/>
      <c r="C8" s="10"/>
      <c r="D8" s="10"/>
      <c r="E8" s="10"/>
      <c r="F8" s="11"/>
      <c r="G8" s="14" t="s">
        <v>9</v>
      </c>
    </row>
    <row r="9" spans="1:7" ht="18.5" x14ac:dyDescent="0.45">
      <c r="A9" s="134" t="s">
        <v>10</v>
      </c>
      <c r="B9" s="135" t="s">
        <v>11</v>
      </c>
      <c r="C9" s="10"/>
      <c r="D9" s="10"/>
      <c r="E9" s="10"/>
      <c r="F9" s="11"/>
      <c r="G9" s="24"/>
    </row>
    <row r="10" spans="1:7" ht="18.5" x14ac:dyDescent="0.45">
      <c r="A10" s="134" t="s">
        <v>13</v>
      </c>
      <c r="B10" s="135" t="s">
        <v>14</v>
      </c>
      <c r="C10" s="10"/>
      <c r="D10" s="10"/>
      <c r="E10" s="10"/>
      <c r="F10" s="11"/>
      <c r="G10" s="24"/>
    </row>
    <row r="11" spans="1:7" x14ac:dyDescent="0.35">
      <c r="A11" s="10"/>
      <c r="B11" s="10"/>
      <c r="C11" s="10"/>
      <c r="D11" s="10"/>
      <c r="E11" s="10"/>
      <c r="F11" s="11"/>
    </row>
    <row r="12" spans="1:7" x14ac:dyDescent="0.35">
      <c r="A12" s="25" t="s">
        <v>15</v>
      </c>
      <c r="B12" s="9"/>
      <c r="C12" s="10"/>
      <c r="D12" s="10"/>
      <c r="E12" s="10"/>
      <c r="F12" s="11"/>
    </row>
    <row r="13" spans="1:7" x14ac:dyDescent="0.35">
      <c r="A13" s="134" t="s">
        <v>16</v>
      </c>
      <c r="B13" s="135" t="s">
        <v>17</v>
      </c>
      <c r="C13" s="10"/>
      <c r="D13" s="134" t="s">
        <v>18</v>
      </c>
      <c r="E13" s="135" t="s">
        <v>17</v>
      </c>
      <c r="F13" s="11"/>
    </row>
    <row r="14" spans="1:7" x14ac:dyDescent="0.35">
      <c r="A14" s="134" t="s">
        <v>19</v>
      </c>
      <c r="B14" s="135" t="s">
        <v>17</v>
      </c>
      <c r="C14" s="10"/>
      <c r="D14" s="134" t="s">
        <v>20</v>
      </c>
      <c r="E14" s="135" t="s">
        <v>17</v>
      </c>
      <c r="F14" s="11"/>
    </row>
    <row r="15" spans="1:7" x14ac:dyDescent="0.35">
      <c r="A15" s="10"/>
      <c r="B15" s="10"/>
      <c r="C15" s="10"/>
      <c r="D15" s="10"/>
      <c r="E15" s="10"/>
      <c r="F15" s="11"/>
    </row>
    <row r="16" spans="1:7" x14ac:dyDescent="0.35">
      <c r="A16" s="10"/>
      <c r="B16" s="10"/>
      <c r="C16" s="10"/>
      <c r="D16" s="10"/>
      <c r="E16" s="10"/>
      <c r="F16" s="11"/>
    </row>
    <row r="17" spans="1:6" x14ac:dyDescent="0.35">
      <c r="A17" s="10"/>
      <c r="B17" s="10"/>
      <c r="C17" s="10"/>
      <c r="D17" s="10"/>
      <c r="E17" s="10"/>
      <c r="F17" s="11"/>
    </row>
    <row r="18" spans="1:6" x14ac:dyDescent="0.35">
      <c r="A18" s="10"/>
      <c r="B18" s="3" t="s">
        <v>21</v>
      </c>
      <c r="C18" s="4" t="s">
        <v>22</v>
      </c>
      <c r="D18" s="5" t="s">
        <v>23</v>
      </c>
      <c r="E18" s="5" t="s">
        <v>24</v>
      </c>
      <c r="F18" s="5" t="s">
        <v>25</v>
      </c>
    </row>
    <row r="19" spans="1:6" ht="16.5" x14ac:dyDescent="0.45">
      <c r="A19" s="19"/>
      <c r="B19" s="20"/>
      <c r="C19" s="20"/>
      <c r="D19" s="6" t="e">
        <f>B72</f>
        <v>#DIV/0!</v>
      </c>
      <c r="E19" s="7" t="e">
        <f>C72</f>
        <v>#DIV/0!</v>
      </c>
      <c r="F19" s="12" t="e">
        <f>IF(AND(B19&lt;D19,C19&lt;E19),"Blue",(IF(AND(B19&lt;D19,C19&gt;E19),"Red",(IF(AND(B19&gt;D19,C19&gt;E19),"Green",(IF(AND(B19&gt;D19,C19&lt;E19),"Yellow")))))))</f>
        <v>#DIV/0!</v>
      </c>
    </row>
    <row r="20" spans="1:6" ht="16.5" x14ac:dyDescent="0.45">
      <c r="A20" s="19"/>
      <c r="B20" s="20"/>
      <c r="C20" s="20"/>
      <c r="D20" s="6" t="e">
        <f>B72</f>
        <v>#DIV/0!</v>
      </c>
      <c r="E20" s="7" t="e">
        <f>C72</f>
        <v>#DIV/0!</v>
      </c>
      <c r="F20" s="12" t="e">
        <f t="shared" ref="F20:F68" si="0">IF(AND(B20&lt;D20,C20&lt;E20),"Blue",(IF(AND(B20&lt;D20,C20&gt;E20),"Red",(IF(AND(B20&gt;D20,C20&gt;E20),"Green",(IF(AND(B20&gt;D20,C20&lt;E20),"Yellow")))))))</f>
        <v>#DIV/0!</v>
      </c>
    </row>
    <row r="21" spans="1:6" ht="16.5" x14ac:dyDescent="0.45">
      <c r="A21" s="19"/>
      <c r="B21" s="20"/>
      <c r="C21" s="20"/>
      <c r="D21" s="6" t="e">
        <f>B72</f>
        <v>#DIV/0!</v>
      </c>
      <c r="E21" s="7" t="e">
        <f>C72</f>
        <v>#DIV/0!</v>
      </c>
      <c r="F21" s="12" t="e">
        <f t="shared" si="0"/>
        <v>#DIV/0!</v>
      </c>
    </row>
    <row r="22" spans="1:6" ht="16.5" x14ac:dyDescent="0.45">
      <c r="A22" s="19"/>
      <c r="B22" s="20"/>
      <c r="C22" s="20"/>
      <c r="D22" s="6" t="e">
        <f>B72</f>
        <v>#DIV/0!</v>
      </c>
      <c r="E22" s="7" t="e">
        <f>C72</f>
        <v>#DIV/0!</v>
      </c>
      <c r="F22" s="12" t="e">
        <f t="shared" si="0"/>
        <v>#DIV/0!</v>
      </c>
    </row>
    <row r="23" spans="1:6" ht="16.5" x14ac:dyDescent="0.45">
      <c r="A23" s="19"/>
      <c r="B23" s="20"/>
      <c r="C23" s="20"/>
      <c r="D23" s="6" t="e">
        <f>B72</f>
        <v>#DIV/0!</v>
      </c>
      <c r="E23" s="7" t="e">
        <f>C72</f>
        <v>#DIV/0!</v>
      </c>
      <c r="F23" s="12" t="e">
        <f>IF(AND(B23&lt;D23,C23&lt;E23),"Blue",(IF(AND(B23&lt;D23,C23&gt;E23),"Red",(IF(AND(B23&gt;D23,C23&gt;E23),"Green",(IF(AND(B23&gt;D23,C23&lt;E23),"Yellow")))))))</f>
        <v>#DIV/0!</v>
      </c>
    </row>
    <row r="24" spans="1:6" ht="16.5" x14ac:dyDescent="0.45">
      <c r="A24" s="19"/>
      <c r="B24" s="20"/>
      <c r="C24" s="20"/>
      <c r="D24" s="6" t="e">
        <f>B72</f>
        <v>#DIV/0!</v>
      </c>
      <c r="E24" s="7" t="e">
        <f>C72</f>
        <v>#DIV/0!</v>
      </c>
      <c r="F24" s="12" t="e">
        <f t="shared" si="0"/>
        <v>#DIV/0!</v>
      </c>
    </row>
    <row r="25" spans="1:6" ht="16.5" x14ac:dyDescent="0.45">
      <c r="A25" s="19"/>
      <c r="B25" s="20"/>
      <c r="C25" s="20"/>
      <c r="D25" s="6" t="e">
        <f>B72</f>
        <v>#DIV/0!</v>
      </c>
      <c r="E25" s="7" t="e">
        <f>C72</f>
        <v>#DIV/0!</v>
      </c>
      <c r="F25" s="12" t="e">
        <f t="shared" si="0"/>
        <v>#DIV/0!</v>
      </c>
    </row>
    <row r="26" spans="1:6" ht="16.5" x14ac:dyDescent="0.45">
      <c r="A26" s="19"/>
      <c r="B26" s="20"/>
      <c r="C26" s="20"/>
      <c r="D26" s="6" t="e">
        <f>B72</f>
        <v>#DIV/0!</v>
      </c>
      <c r="E26" s="7" t="e">
        <f>C72</f>
        <v>#DIV/0!</v>
      </c>
      <c r="F26" s="12" t="e">
        <f t="shared" si="0"/>
        <v>#DIV/0!</v>
      </c>
    </row>
    <row r="27" spans="1:6" ht="16.5" x14ac:dyDescent="0.45">
      <c r="A27" s="19"/>
      <c r="B27" s="20"/>
      <c r="C27" s="20"/>
      <c r="D27" s="6" t="e">
        <f>B72</f>
        <v>#DIV/0!</v>
      </c>
      <c r="E27" s="7" t="e">
        <f>C72</f>
        <v>#DIV/0!</v>
      </c>
      <c r="F27" s="12" t="e">
        <f t="shared" si="0"/>
        <v>#DIV/0!</v>
      </c>
    </row>
    <row r="28" spans="1:6" ht="16.5" x14ac:dyDescent="0.45">
      <c r="A28" s="19"/>
      <c r="B28" s="20"/>
      <c r="C28" s="20"/>
      <c r="D28" s="6" t="e">
        <f>B72</f>
        <v>#DIV/0!</v>
      </c>
      <c r="E28" s="7" t="e">
        <f>C72</f>
        <v>#DIV/0!</v>
      </c>
      <c r="F28" s="12" t="e">
        <f t="shared" si="0"/>
        <v>#DIV/0!</v>
      </c>
    </row>
    <row r="29" spans="1:6" ht="16.5" x14ac:dyDescent="0.45">
      <c r="A29" s="19"/>
      <c r="B29" s="20"/>
      <c r="C29" s="20"/>
      <c r="D29" s="6" t="e">
        <f>B72</f>
        <v>#DIV/0!</v>
      </c>
      <c r="E29" s="7" t="e">
        <f>C72</f>
        <v>#DIV/0!</v>
      </c>
      <c r="F29" s="12" t="e">
        <f t="shared" si="0"/>
        <v>#DIV/0!</v>
      </c>
    </row>
    <row r="30" spans="1:6" ht="16.5" x14ac:dyDescent="0.45">
      <c r="A30" s="19"/>
      <c r="B30" s="20"/>
      <c r="C30" s="20"/>
      <c r="D30" s="6" t="e">
        <f>B72</f>
        <v>#DIV/0!</v>
      </c>
      <c r="E30" s="7" t="e">
        <f>C72</f>
        <v>#DIV/0!</v>
      </c>
      <c r="F30" s="12" t="e">
        <f t="shared" si="0"/>
        <v>#DIV/0!</v>
      </c>
    </row>
    <row r="31" spans="1:6" ht="16.5" x14ac:dyDescent="0.45">
      <c r="A31" s="19"/>
      <c r="B31" s="20"/>
      <c r="C31" s="20"/>
      <c r="D31" s="6" t="e">
        <f>B72</f>
        <v>#DIV/0!</v>
      </c>
      <c r="E31" s="7" t="e">
        <f>C72</f>
        <v>#DIV/0!</v>
      </c>
      <c r="F31" s="12" t="e">
        <f t="shared" si="0"/>
        <v>#DIV/0!</v>
      </c>
    </row>
    <row r="32" spans="1:6" ht="16.5" x14ac:dyDescent="0.45">
      <c r="A32" s="19"/>
      <c r="B32" s="20"/>
      <c r="C32" s="20"/>
      <c r="D32" s="6" t="e">
        <f>B72</f>
        <v>#DIV/0!</v>
      </c>
      <c r="E32" s="7" t="e">
        <f>C72</f>
        <v>#DIV/0!</v>
      </c>
      <c r="F32" s="12" t="e">
        <f t="shared" si="0"/>
        <v>#DIV/0!</v>
      </c>
    </row>
    <row r="33" spans="1:6" ht="16.5" x14ac:dyDescent="0.45">
      <c r="A33" s="19"/>
      <c r="B33" s="20"/>
      <c r="C33" s="20"/>
      <c r="D33" s="6" t="e">
        <f>B72</f>
        <v>#DIV/0!</v>
      </c>
      <c r="E33" s="7" t="e">
        <f>C72</f>
        <v>#DIV/0!</v>
      </c>
      <c r="F33" s="12" t="e">
        <f t="shared" si="0"/>
        <v>#DIV/0!</v>
      </c>
    </row>
    <row r="34" spans="1:6" ht="16.5" x14ac:dyDescent="0.45">
      <c r="A34" s="19"/>
      <c r="B34" s="20"/>
      <c r="C34" s="20"/>
      <c r="D34" s="6" t="e">
        <f>B72</f>
        <v>#DIV/0!</v>
      </c>
      <c r="E34" s="7" t="e">
        <f>C72</f>
        <v>#DIV/0!</v>
      </c>
      <c r="F34" s="12" t="e">
        <f t="shared" si="0"/>
        <v>#DIV/0!</v>
      </c>
    </row>
    <row r="35" spans="1:6" ht="16.5" x14ac:dyDescent="0.45">
      <c r="A35" s="19"/>
      <c r="B35" s="20"/>
      <c r="C35" s="20"/>
      <c r="D35" s="6" t="e">
        <f>B72</f>
        <v>#DIV/0!</v>
      </c>
      <c r="E35" s="7" t="e">
        <f>C72</f>
        <v>#DIV/0!</v>
      </c>
      <c r="F35" s="12" t="e">
        <f t="shared" si="0"/>
        <v>#DIV/0!</v>
      </c>
    </row>
    <row r="36" spans="1:6" ht="16.5" x14ac:dyDescent="0.45">
      <c r="A36" s="19"/>
      <c r="B36" s="20"/>
      <c r="C36" s="20"/>
      <c r="D36" s="6" t="e">
        <f>B72</f>
        <v>#DIV/0!</v>
      </c>
      <c r="E36" s="7" t="e">
        <f>C72</f>
        <v>#DIV/0!</v>
      </c>
      <c r="F36" s="12" t="e">
        <f t="shared" si="0"/>
        <v>#DIV/0!</v>
      </c>
    </row>
    <row r="37" spans="1:6" ht="16.5" x14ac:dyDescent="0.45">
      <c r="A37" s="19"/>
      <c r="B37" s="20"/>
      <c r="C37" s="20"/>
      <c r="D37" s="6" t="e">
        <f>B72</f>
        <v>#DIV/0!</v>
      </c>
      <c r="E37" s="7" t="e">
        <f>C72</f>
        <v>#DIV/0!</v>
      </c>
      <c r="F37" s="12" t="e">
        <f t="shared" si="0"/>
        <v>#DIV/0!</v>
      </c>
    </row>
    <row r="38" spans="1:6" ht="16.5" x14ac:dyDescent="0.45">
      <c r="A38" s="19"/>
      <c r="B38" s="20"/>
      <c r="C38" s="20"/>
      <c r="D38" s="6" t="e">
        <f>B72</f>
        <v>#DIV/0!</v>
      </c>
      <c r="E38" s="7" t="e">
        <f>C72</f>
        <v>#DIV/0!</v>
      </c>
      <c r="F38" s="12" t="e">
        <f t="shared" si="0"/>
        <v>#DIV/0!</v>
      </c>
    </row>
    <row r="39" spans="1:6" ht="16.5" x14ac:dyDescent="0.45">
      <c r="A39" s="19"/>
      <c r="B39" s="20"/>
      <c r="C39" s="20"/>
      <c r="D39" s="6" t="e">
        <f>B72</f>
        <v>#DIV/0!</v>
      </c>
      <c r="E39" s="7" t="e">
        <f>C72</f>
        <v>#DIV/0!</v>
      </c>
      <c r="F39" s="12" t="e">
        <f t="shared" si="0"/>
        <v>#DIV/0!</v>
      </c>
    </row>
    <row r="40" spans="1:6" ht="16.5" x14ac:dyDescent="0.45">
      <c r="A40" s="19"/>
      <c r="B40" s="20"/>
      <c r="C40" s="20"/>
      <c r="D40" s="6" t="e">
        <f>B72</f>
        <v>#DIV/0!</v>
      </c>
      <c r="E40" s="7" t="e">
        <f>C72</f>
        <v>#DIV/0!</v>
      </c>
      <c r="F40" s="12" t="e">
        <f t="shared" si="0"/>
        <v>#DIV/0!</v>
      </c>
    </row>
    <row r="41" spans="1:6" ht="16.5" x14ac:dyDescent="0.45">
      <c r="A41" s="19"/>
      <c r="B41" s="20"/>
      <c r="C41" s="20"/>
      <c r="D41" s="6" t="e">
        <f>B72</f>
        <v>#DIV/0!</v>
      </c>
      <c r="E41" s="7" t="e">
        <f>C72</f>
        <v>#DIV/0!</v>
      </c>
      <c r="F41" s="12" t="e">
        <f t="shared" si="0"/>
        <v>#DIV/0!</v>
      </c>
    </row>
    <row r="42" spans="1:6" ht="16.5" x14ac:dyDescent="0.45">
      <c r="A42" s="19"/>
      <c r="B42" s="20"/>
      <c r="C42" s="20"/>
      <c r="D42" s="6" t="e">
        <f>B72</f>
        <v>#DIV/0!</v>
      </c>
      <c r="E42" s="7" t="e">
        <f>C72</f>
        <v>#DIV/0!</v>
      </c>
      <c r="F42" s="12" t="e">
        <f t="shared" si="0"/>
        <v>#DIV/0!</v>
      </c>
    </row>
    <row r="43" spans="1:6" ht="16.5" x14ac:dyDescent="0.45">
      <c r="A43" s="19"/>
      <c r="B43" s="20"/>
      <c r="C43" s="20"/>
      <c r="D43" s="6" t="e">
        <f>B72</f>
        <v>#DIV/0!</v>
      </c>
      <c r="E43" s="7" t="e">
        <f>C72</f>
        <v>#DIV/0!</v>
      </c>
      <c r="F43" s="12" t="e">
        <f t="shared" si="0"/>
        <v>#DIV/0!</v>
      </c>
    </row>
    <row r="44" spans="1:6" ht="16.5" x14ac:dyDescent="0.45">
      <c r="A44" s="19"/>
      <c r="B44" s="20"/>
      <c r="C44" s="20"/>
      <c r="D44" s="6" t="e">
        <f>B72</f>
        <v>#DIV/0!</v>
      </c>
      <c r="E44" s="7" t="e">
        <f>C72</f>
        <v>#DIV/0!</v>
      </c>
      <c r="F44" s="12" t="e">
        <f t="shared" si="0"/>
        <v>#DIV/0!</v>
      </c>
    </row>
    <row r="45" spans="1:6" ht="16.5" x14ac:dyDescent="0.45">
      <c r="A45" s="19"/>
      <c r="B45" s="20"/>
      <c r="C45" s="20"/>
      <c r="D45" s="6" t="e">
        <f>B72</f>
        <v>#DIV/0!</v>
      </c>
      <c r="E45" s="7" t="e">
        <f>C72</f>
        <v>#DIV/0!</v>
      </c>
      <c r="F45" s="12" t="e">
        <f t="shared" si="0"/>
        <v>#DIV/0!</v>
      </c>
    </row>
    <row r="46" spans="1:6" ht="16.5" x14ac:dyDescent="0.45">
      <c r="A46" s="19"/>
      <c r="B46" s="20"/>
      <c r="C46" s="20"/>
      <c r="D46" s="6" t="e">
        <f>B72</f>
        <v>#DIV/0!</v>
      </c>
      <c r="E46" s="7" t="e">
        <f>C72</f>
        <v>#DIV/0!</v>
      </c>
      <c r="F46" s="12" t="e">
        <f t="shared" si="0"/>
        <v>#DIV/0!</v>
      </c>
    </row>
    <row r="47" spans="1:6" ht="16.5" x14ac:dyDescent="0.45">
      <c r="A47" s="19"/>
      <c r="B47" s="20"/>
      <c r="C47" s="20"/>
      <c r="D47" s="6" t="e">
        <f>B72</f>
        <v>#DIV/0!</v>
      </c>
      <c r="E47" s="7" t="e">
        <f>C72</f>
        <v>#DIV/0!</v>
      </c>
      <c r="F47" s="12" t="e">
        <f t="shared" si="0"/>
        <v>#DIV/0!</v>
      </c>
    </row>
    <row r="48" spans="1:6" ht="16.5" x14ac:dyDescent="0.45">
      <c r="A48" s="19"/>
      <c r="B48" s="20"/>
      <c r="C48" s="20"/>
      <c r="D48" s="6" t="e">
        <f>B72</f>
        <v>#DIV/0!</v>
      </c>
      <c r="E48" s="7" t="e">
        <f>C72</f>
        <v>#DIV/0!</v>
      </c>
      <c r="F48" s="12" t="e">
        <f t="shared" si="0"/>
        <v>#DIV/0!</v>
      </c>
    </row>
    <row r="49" spans="1:6" ht="16.5" x14ac:dyDescent="0.45">
      <c r="A49" s="19"/>
      <c r="B49" s="20"/>
      <c r="C49" s="20"/>
      <c r="D49" s="6" t="e">
        <f>B72</f>
        <v>#DIV/0!</v>
      </c>
      <c r="E49" s="7" t="e">
        <f>C72</f>
        <v>#DIV/0!</v>
      </c>
      <c r="F49" s="12" t="e">
        <f t="shared" si="0"/>
        <v>#DIV/0!</v>
      </c>
    </row>
    <row r="50" spans="1:6" ht="16.5" x14ac:dyDescent="0.45">
      <c r="A50" s="19"/>
      <c r="B50" s="20"/>
      <c r="C50" s="20"/>
      <c r="D50" s="6" t="e">
        <f>B72</f>
        <v>#DIV/0!</v>
      </c>
      <c r="E50" s="7" t="e">
        <f>C72</f>
        <v>#DIV/0!</v>
      </c>
      <c r="F50" s="12" t="e">
        <f t="shared" si="0"/>
        <v>#DIV/0!</v>
      </c>
    </row>
    <row r="51" spans="1:6" ht="16.5" x14ac:dyDescent="0.45">
      <c r="A51" s="19"/>
      <c r="B51" s="20"/>
      <c r="C51" s="20"/>
      <c r="D51" s="6" t="e">
        <f>B72</f>
        <v>#DIV/0!</v>
      </c>
      <c r="E51" s="7" t="e">
        <f>C72</f>
        <v>#DIV/0!</v>
      </c>
      <c r="F51" s="12" t="e">
        <f t="shared" si="0"/>
        <v>#DIV/0!</v>
      </c>
    </row>
    <row r="52" spans="1:6" ht="16.5" x14ac:dyDescent="0.45">
      <c r="A52" s="19"/>
      <c r="B52" s="20"/>
      <c r="C52" s="20"/>
      <c r="D52" s="6" t="e">
        <f>B72</f>
        <v>#DIV/0!</v>
      </c>
      <c r="E52" s="7" t="e">
        <f>C72</f>
        <v>#DIV/0!</v>
      </c>
      <c r="F52" s="12" t="e">
        <f t="shared" si="0"/>
        <v>#DIV/0!</v>
      </c>
    </row>
    <row r="53" spans="1:6" ht="16.5" x14ac:dyDescent="0.45">
      <c r="A53" s="19"/>
      <c r="B53" s="20"/>
      <c r="C53" s="20"/>
      <c r="D53" s="6" t="e">
        <f>B72</f>
        <v>#DIV/0!</v>
      </c>
      <c r="E53" s="7" t="e">
        <f>C72</f>
        <v>#DIV/0!</v>
      </c>
      <c r="F53" s="12" t="e">
        <f t="shared" si="0"/>
        <v>#DIV/0!</v>
      </c>
    </row>
    <row r="54" spans="1:6" x14ac:dyDescent="0.35">
      <c r="A54" s="21"/>
      <c r="B54" s="22"/>
      <c r="C54" s="23"/>
      <c r="D54" s="6" t="e">
        <f>B72</f>
        <v>#DIV/0!</v>
      </c>
      <c r="E54" s="7" t="e">
        <f>C72</f>
        <v>#DIV/0!</v>
      </c>
      <c r="F54" s="12" t="e">
        <f t="shared" si="0"/>
        <v>#DIV/0!</v>
      </c>
    </row>
    <row r="55" spans="1:6" x14ac:dyDescent="0.35">
      <c r="A55" s="21"/>
      <c r="B55" s="22"/>
      <c r="C55" s="23"/>
      <c r="D55" s="6" t="e">
        <f>B72</f>
        <v>#DIV/0!</v>
      </c>
      <c r="E55" s="7" t="e">
        <f>C72</f>
        <v>#DIV/0!</v>
      </c>
      <c r="F55" s="12" t="e">
        <f t="shared" si="0"/>
        <v>#DIV/0!</v>
      </c>
    </row>
    <row r="56" spans="1:6" x14ac:dyDescent="0.35">
      <c r="A56" s="21"/>
      <c r="B56" s="22"/>
      <c r="C56" s="23"/>
      <c r="D56" s="6" t="e">
        <f>B72</f>
        <v>#DIV/0!</v>
      </c>
      <c r="E56" s="7" t="e">
        <f>C72</f>
        <v>#DIV/0!</v>
      </c>
      <c r="F56" s="12" t="e">
        <f t="shared" si="0"/>
        <v>#DIV/0!</v>
      </c>
    </row>
    <row r="57" spans="1:6" x14ac:dyDescent="0.35">
      <c r="A57" s="21"/>
      <c r="B57" s="22"/>
      <c r="C57" s="23"/>
      <c r="D57" s="6" t="e">
        <f>B72</f>
        <v>#DIV/0!</v>
      </c>
      <c r="E57" s="7" t="e">
        <f>C72</f>
        <v>#DIV/0!</v>
      </c>
      <c r="F57" s="12" t="e">
        <f t="shared" si="0"/>
        <v>#DIV/0!</v>
      </c>
    </row>
    <row r="58" spans="1:6" x14ac:dyDescent="0.35">
      <c r="A58" s="21"/>
      <c r="B58" s="22"/>
      <c r="C58" s="23"/>
      <c r="D58" s="6" t="e">
        <f>B72</f>
        <v>#DIV/0!</v>
      </c>
      <c r="E58" s="7" t="e">
        <f>C72</f>
        <v>#DIV/0!</v>
      </c>
      <c r="F58" s="12" t="e">
        <f t="shared" si="0"/>
        <v>#DIV/0!</v>
      </c>
    </row>
    <row r="59" spans="1:6" x14ac:dyDescent="0.35">
      <c r="A59" s="21"/>
      <c r="B59" s="22"/>
      <c r="C59" s="23"/>
      <c r="D59" s="6" t="e">
        <f>B72</f>
        <v>#DIV/0!</v>
      </c>
      <c r="E59" s="7" t="e">
        <f>C72</f>
        <v>#DIV/0!</v>
      </c>
      <c r="F59" s="12" t="e">
        <f t="shared" si="0"/>
        <v>#DIV/0!</v>
      </c>
    </row>
    <row r="60" spans="1:6" x14ac:dyDescent="0.35">
      <c r="A60" s="21"/>
      <c r="B60" s="22"/>
      <c r="C60" s="23"/>
      <c r="D60" s="6" t="e">
        <f>B72</f>
        <v>#DIV/0!</v>
      </c>
      <c r="E60" s="7" t="e">
        <f>C72</f>
        <v>#DIV/0!</v>
      </c>
      <c r="F60" s="12" t="e">
        <f t="shared" si="0"/>
        <v>#DIV/0!</v>
      </c>
    </row>
    <row r="61" spans="1:6" x14ac:dyDescent="0.35">
      <c r="A61" s="21"/>
      <c r="B61" s="22"/>
      <c r="C61" s="23"/>
      <c r="D61" s="6" t="e">
        <f>B72</f>
        <v>#DIV/0!</v>
      </c>
      <c r="E61" s="7" t="e">
        <f>C72</f>
        <v>#DIV/0!</v>
      </c>
      <c r="F61" s="12" t="e">
        <f t="shared" si="0"/>
        <v>#DIV/0!</v>
      </c>
    </row>
    <row r="62" spans="1:6" x14ac:dyDescent="0.35">
      <c r="A62" s="21"/>
      <c r="B62" s="22"/>
      <c r="C62" s="23"/>
      <c r="D62" s="6" t="e">
        <f>B72</f>
        <v>#DIV/0!</v>
      </c>
      <c r="E62" s="7" t="e">
        <f>C72</f>
        <v>#DIV/0!</v>
      </c>
      <c r="F62" s="12" t="e">
        <f t="shared" si="0"/>
        <v>#DIV/0!</v>
      </c>
    </row>
    <row r="63" spans="1:6" x14ac:dyDescent="0.35">
      <c r="A63" s="21"/>
      <c r="B63" s="22"/>
      <c r="C63" s="23"/>
      <c r="D63" s="6" t="e">
        <f>B72</f>
        <v>#DIV/0!</v>
      </c>
      <c r="E63" s="7" t="e">
        <f>C72</f>
        <v>#DIV/0!</v>
      </c>
      <c r="F63" s="12" t="e">
        <f t="shared" si="0"/>
        <v>#DIV/0!</v>
      </c>
    </row>
    <row r="64" spans="1:6" x14ac:dyDescent="0.35">
      <c r="A64" s="21"/>
      <c r="B64" s="22"/>
      <c r="C64" s="23"/>
      <c r="D64" s="6" t="e">
        <f>B72</f>
        <v>#DIV/0!</v>
      </c>
      <c r="E64" s="7" t="e">
        <f>C72</f>
        <v>#DIV/0!</v>
      </c>
      <c r="F64" s="12" t="e">
        <f t="shared" si="0"/>
        <v>#DIV/0!</v>
      </c>
    </row>
    <row r="65" spans="1:6" x14ac:dyDescent="0.35">
      <c r="A65" s="21"/>
      <c r="B65" s="22"/>
      <c r="C65" s="23"/>
      <c r="D65" s="6" t="e">
        <f>B72</f>
        <v>#DIV/0!</v>
      </c>
      <c r="E65" s="7" t="e">
        <f>C72</f>
        <v>#DIV/0!</v>
      </c>
      <c r="F65" s="12" t="e">
        <f t="shared" si="0"/>
        <v>#DIV/0!</v>
      </c>
    </row>
    <row r="66" spans="1:6" x14ac:dyDescent="0.35">
      <c r="A66" s="21"/>
      <c r="B66" s="22"/>
      <c r="C66" s="23"/>
      <c r="D66" s="6" t="e">
        <f>B72</f>
        <v>#DIV/0!</v>
      </c>
      <c r="E66" s="7" t="e">
        <f>C72</f>
        <v>#DIV/0!</v>
      </c>
      <c r="F66" s="12" t="e">
        <f t="shared" si="0"/>
        <v>#DIV/0!</v>
      </c>
    </row>
    <row r="67" spans="1:6" x14ac:dyDescent="0.35">
      <c r="A67" s="21"/>
      <c r="B67" s="22"/>
      <c r="C67" s="23"/>
      <c r="D67" s="6" t="e">
        <f>B72</f>
        <v>#DIV/0!</v>
      </c>
      <c r="E67" s="7" t="e">
        <f>C72</f>
        <v>#DIV/0!</v>
      </c>
      <c r="F67" s="12" t="e">
        <f t="shared" si="0"/>
        <v>#DIV/0!</v>
      </c>
    </row>
    <row r="68" spans="1:6" x14ac:dyDescent="0.35">
      <c r="A68" s="21"/>
      <c r="B68" s="22"/>
      <c r="C68" s="23"/>
      <c r="D68" s="6" t="e">
        <f>B72</f>
        <v>#DIV/0!</v>
      </c>
      <c r="E68" s="7" t="e">
        <f>C72</f>
        <v>#DIV/0!</v>
      </c>
      <c r="F68" s="12" t="e">
        <f t="shared" si="0"/>
        <v>#DIV/0!</v>
      </c>
    </row>
    <row r="69" spans="1:6" x14ac:dyDescent="0.35">
      <c r="A69" s="15"/>
      <c r="B69" s="16"/>
      <c r="C69" s="17"/>
      <c r="D69" s="6"/>
      <c r="E69" s="7"/>
      <c r="F69" s="18"/>
    </row>
    <row r="70" spans="1:6" x14ac:dyDescent="0.35">
      <c r="A70" s="15"/>
      <c r="B70" s="16"/>
      <c r="C70" s="17"/>
      <c r="D70" s="6"/>
      <c r="E70" s="7"/>
      <c r="F70" s="18"/>
    </row>
    <row r="71" spans="1:6" x14ac:dyDescent="0.35">
      <c r="A71" s="15"/>
      <c r="B71" s="16"/>
      <c r="C71" s="17"/>
      <c r="D71" s="6"/>
      <c r="E71" s="7"/>
      <c r="F71" s="18"/>
    </row>
    <row r="72" spans="1:6" x14ac:dyDescent="0.35">
      <c r="A72" s="13" t="s">
        <v>26</v>
      </c>
      <c r="B72" s="8" t="e">
        <f>AVERAGE(B19:B68)</f>
        <v>#DIV/0!</v>
      </c>
      <c r="C72" s="8" t="e">
        <f>AVERAGE(C19:C68)</f>
        <v>#DIV/0!</v>
      </c>
      <c r="D72" s="6"/>
      <c r="E72" s="7"/>
    </row>
    <row r="73" spans="1:6" x14ac:dyDescent="0.35">
      <c r="A73" s="13" t="s">
        <v>27</v>
      </c>
      <c r="B73" s="8" t="e">
        <f>B72-1.1*(MAX(MAX(B19:B68)-B72,B72-MIN(B19:B35)))</f>
        <v>#DIV/0!</v>
      </c>
      <c r="C73" s="8" t="e">
        <f>C72-1.18*(MAX(MAX(C19:C68)-C72,C72-MIN(C19:C35)))</f>
        <v>#DIV/0!</v>
      </c>
      <c r="D73" s="6"/>
    </row>
    <row r="74" spans="1:6" x14ac:dyDescent="0.35">
      <c r="A74" s="13" t="s">
        <v>28</v>
      </c>
      <c r="B74" s="8" t="e">
        <f>B72+1.1*(MAX(MAX(B19:B68)-B72,B72-MIN(B19:B35)))</f>
        <v>#DIV/0!</v>
      </c>
      <c r="C74" s="8" t="e">
        <f>C72+1.18*(MAX(MAX(C19:C68)-C72,C72-MIN(C19:C35)))</f>
        <v>#DIV/0!</v>
      </c>
      <c r="D74" s="6"/>
    </row>
    <row r="75" spans="1:6" x14ac:dyDescent="0.35">
      <c r="D75" s="6"/>
    </row>
    <row r="76" spans="1:6" x14ac:dyDescent="0.35">
      <c r="B76" s="10"/>
      <c r="C76" s="10"/>
      <c r="D76" s="10"/>
    </row>
    <row r="77" spans="1:6" x14ac:dyDescent="0.35">
      <c r="B77" s="10"/>
      <c r="C77" s="10"/>
      <c r="D77" s="10"/>
    </row>
    <row r="78" spans="1:6" x14ac:dyDescent="0.35">
      <c r="D78" s="6"/>
    </row>
    <row r="79" spans="1:6" x14ac:dyDescent="0.35">
      <c r="D79" s="6"/>
    </row>
    <row r="80" spans="1:6" x14ac:dyDescent="0.35">
      <c r="D80" s="6"/>
    </row>
    <row r="81" spans="4:4" x14ac:dyDescent="0.35">
      <c r="D81" s="6"/>
    </row>
    <row r="82" spans="4:4" x14ac:dyDescent="0.35">
      <c r="D82" s="6"/>
    </row>
    <row r="83" spans="4:4" x14ac:dyDescent="0.35">
      <c r="D83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6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7499C-4015-46B0-B784-8215DEC83BA7}">
  <sheetPr codeName="Sheet14"/>
  <dimension ref="A1:G83"/>
  <sheetViews>
    <sheetView topLeftCell="A32" zoomScaleNormal="100" workbookViewId="0">
      <selection activeCell="A13" sqref="A13"/>
    </sheetView>
  </sheetViews>
  <sheetFormatPr defaultColWidth="8.75" defaultRowHeight="14.5" x14ac:dyDescent="0.35"/>
  <cols>
    <col min="1" max="1" width="38.25" style="2" customWidth="1"/>
    <col min="2" max="6" width="8.75" style="2"/>
    <col min="7" max="7" width="158.33203125" style="2" customWidth="1"/>
    <col min="8" max="8" width="8.75" style="2"/>
    <col min="9" max="9" width="147.33203125" style="2" customWidth="1"/>
    <col min="10" max="16384" width="8.75" style="2"/>
  </cols>
  <sheetData>
    <row r="1" spans="1:7" x14ac:dyDescent="0.35">
      <c r="A1" s="25" t="s">
        <v>0</v>
      </c>
      <c r="B1" s="10"/>
      <c r="C1" s="10"/>
      <c r="D1" s="10"/>
      <c r="E1" s="1"/>
      <c r="F1" s="11"/>
    </row>
    <row r="2" spans="1:7" x14ac:dyDescent="0.35">
      <c r="A2" s="26"/>
      <c r="B2" s="10"/>
      <c r="C2" s="10"/>
      <c r="D2" s="10"/>
      <c r="E2" s="1"/>
      <c r="F2" s="11"/>
    </row>
    <row r="3" spans="1:7" ht="18.5" x14ac:dyDescent="0.45">
      <c r="A3" s="26" t="s">
        <v>1</v>
      </c>
      <c r="B3" s="10"/>
      <c r="C3" s="10"/>
      <c r="D3" s="10"/>
      <c r="E3" s="1"/>
      <c r="F3" s="11"/>
      <c r="G3" s="14" t="s">
        <v>2</v>
      </c>
    </row>
    <row r="4" spans="1:7" ht="18.5" x14ac:dyDescent="0.45">
      <c r="A4" s="26" t="s">
        <v>3</v>
      </c>
      <c r="B4" s="10"/>
      <c r="C4" s="10"/>
      <c r="D4" s="10"/>
      <c r="E4" s="10"/>
      <c r="F4" s="11"/>
      <c r="G4" s="14" t="s">
        <v>4</v>
      </c>
    </row>
    <row r="5" spans="1:7" ht="18.5" x14ac:dyDescent="0.45">
      <c r="A5" s="26"/>
      <c r="B5" s="10"/>
      <c r="C5" s="10"/>
      <c r="D5" s="10"/>
      <c r="E5" s="10"/>
      <c r="F5" s="11"/>
      <c r="G5" s="14" t="s">
        <v>5</v>
      </c>
    </row>
    <row r="6" spans="1:7" ht="18.5" x14ac:dyDescent="0.45">
      <c r="A6" s="26" t="s">
        <v>6</v>
      </c>
      <c r="B6" s="10"/>
      <c r="C6" s="10"/>
      <c r="D6" s="10"/>
      <c r="E6" s="10"/>
      <c r="F6" s="11"/>
      <c r="G6" s="14" t="s">
        <v>7</v>
      </c>
    </row>
    <row r="7" spans="1:7" ht="18.5" x14ac:dyDescent="0.45">
      <c r="A7" s="26"/>
      <c r="B7" s="10"/>
      <c r="C7" s="10"/>
      <c r="D7" s="10"/>
      <c r="E7" s="10"/>
      <c r="F7" s="11"/>
      <c r="G7" s="14"/>
    </row>
    <row r="8" spans="1:7" ht="18.5" x14ac:dyDescent="0.45">
      <c r="A8" s="25" t="s">
        <v>8</v>
      </c>
      <c r="B8" s="10"/>
      <c r="C8" s="10"/>
      <c r="D8" s="10"/>
      <c r="E8" s="10"/>
      <c r="F8" s="11"/>
      <c r="G8" s="14" t="s">
        <v>9</v>
      </c>
    </row>
    <row r="9" spans="1:7" ht="18.5" x14ac:dyDescent="0.45">
      <c r="A9" s="134" t="s">
        <v>10</v>
      </c>
      <c r="B9" s="135" t="s">
        <v>11</v>
      </c>
      <c r="C9" s="10"/>
      <c r="D9" s="10"/>
      <c r="E9" s="10"/>
      <c r="F9" s="11"/>
      <c r="G9" s="24"/>
    </row>
    <row r="10" spans="1:7" ht="18.5" x14ac:dyDescent="0.45">
      <c r="A10" s="134" t="s">
        <v>13</v>
      </c>
      <c r="B10" s="135" t="s">
        <v>14</v>
      </c>
      <c r="C10" s="10"/>
      <c r="D10" s="10"/>
      <c r="E10" s="10"/>
      <c r="F10" s="11"/>
      <c r="G10" s="24"/>
    </row>
    <row r="11" spans="1:7" x14ac:dyDescent="0.35">
      <c r="A11" s="10"/>
      <c r="B11" s="10"/>
      <c r="C11" s="10"/>
      <c r="D11" s="10"/>
      <c r="E11" s="10"/>
      <c r="F11" s="11"/>
    </row>
    <row r="12" spans="1:7" x14ac:dyDescent="0.35">
      <c r="A12" s="25" t="s">
        <v>15</v>
      </c>
      <c r="B12" s="9"/>
      <c r="C12" s="10"/>
      <c r="D12" s="10"/>
      <c r="E12" s="10"/>
      <c r="F12" s="11"/>
    </row>
    <row r="13" spans="1:7" x14ac:dyDescent="0.35">
      <c r="A13" s="134" t="s">
        <v>16</v>
      </c>
      <c r="B13" s="135" t="s">
        <v>17</v>
      </c>
      <c r="C13" s="10"/>
      <c r="D13" s="134" t="s">
        <v>18</v>
      </c>
      <c r="E13" s="135" t="s">
        <v>17</v>
      </c>
      <c r="F13" s="11"/>
    </row>
    <row r="14" spans="1:7" x14ac:dyDescent="0.35">
      <c r="A14" s="134" t="s">
        <v>19</v>
      </c>
      <c r="B14" s="135" t="s">
        <v>17</v>
      </c>
      <c r="C14" s="10"/>
      <c r="D14" s="134" t="s">
        <v>20</v>
      </c>
      <c r="E14" s="135" t="s">
        <v>17</v>
      </c>
      <c r="F14" s="11"/>
    </row>
    <row r="15" spans="1:7" x14ac:dyDescent="0.35">
      <c r="A15" s="10"/>
      <c r="B15" s="10"/>
      <c r="C15" s="10"/>
      <c r="D15" s="10"/>
      <c r="E15" s="10"/>
      <c r="F15" s="11"/>
    </row>
    <row r="16" spans="1:7" x14ac:dyDescent="0.35">
      <c r="A16" s="10"/>
      <c r="B16" s="10"/>
      <c r="C16" s="10"/>
      <c r="D16" s="10"/>
      <c r="E16" s="10"/>
      <c r="F16" s="11"/>
    </row>
    <row r="17" spans="1:6" x14ac:dyDescent="0.35">
      <c r="A17" s="10"/>
      <c r="B17" s="10"/>
      <c r="C17" s="10"/>
      <c r="D17" s="10"/>
      <c r="E17" s="10"/>
      <c r="F17" s="11"/>
    </row>
    <row r="18" spans="1:6" x14ac:dyDescent="0.35">
      <c r="A18" s="10"/>
      <c r="B18" s="3" t="s">
        <v>21</v>
      </c>
      <c r="C18" s="4" t="s">
        <v>22</v>
      </c>
      <c r="D18" s="5" t="s">
        <v>23</v>
      </c>
      <c r="E18" s="5" t="s">
        <v>24</v>
      </c>
      <c r="F18" s="5" t="s">
        <v>25</v>
      </c>
    </row>
    <row r="19" spans="1:6" ht="16.5" x14ac:dyDescent="0.45">
      <c r="A19" s="19"/>
      <c r="B19" s="20"/>
      <c r="C19" s="20"/>
      <c r="D19" s="6" t="e">
        <f>B72</f>
        <v>#DIV/0!</v>
      </c>
      <c r="E19" s="7" t="e">
        <f>C72</f>
        <v>#DIV/0!</v>
      </c>
      <c r="F19" s="12" t="e">
        <f>IF(AND(B19&lt;D19,C19&lt;E19),"Blue",(IF(AND(B19&lt;D19,C19&gt;E19),"Red",(IF(AND(B19&gt;D19,C19&gt;E19),"Green",(IF(AND(B19&gt;D19,C19&lt;E19),"Yellow")))))))</f>
        <v>#DIV/0!</v>
      </c>
    </row>
    <row r="20" spans="1:6" ht="16.5" x14ac:dyDescent="0.45">
      <c r="A20" s="19"/>
      <c r="B20" s="20"/>
      <c r="C20" s="20"/>
      <c r="D20" s="6" t="e">
        <f>B72</f>
        <v>#DIV/0!</v>
      </c>
      <c r="E20" s="7" t="e">
        <f>C72</f>
        <v>#DIV/0!</v>
      </c>
      <c r="F20" s="12" t="e">
        <f t="shared" ref="F20:F68" si="0">IF(AND(B20&lt;D20,C20&lt;E20),"Blue",(IF(AND(B20&lt;D20,C20&gt;E20),"Red",(IF(AND(B20&gt;D20,C20&gt;E20),"Green",(IF(AND(B20&gt;D20,C20&lt;E20),"Yellow")))))))</f>
        <v>#DIV/0!</v>
      </c>
    </row>
    <row r="21" spans="1:6" ht="16.5" x14ac:dyDescent="0.45">
      <c r="A21" s="19"/>
      <c r="B21" s="20"/>
      <c r="C21" s="20"/>
      <c r="D21" s="6" t="e">
        <f>B72</f>
        <v>#DIV/0!</v>
      </c>
      <c r="E21" s="7" t="e">
        <f>C72</f>
        <v>#DIV/0!</v>
      </c>
      <c r="F21" s="12" t="e">
        <f t="shared" si="0"/>
        <v>#DIV/0!</v>
      </c>
    </row>
    <row r="22" spans="1:6" ht="16.5" x14ac:dyDescent="0.45">
      <c r="A22" s="19"/>
      <c r="B22" s="20"/>
      <c r="C22" s="20"/>
      <c r="D22" s="6" t="e">
        <f>B72</f>
        <v>#DIV/0!</v>
      </c>
      <c r="E22" s="7" t="e">
        <f>C72</f>
        <v>#DIV/0!</v>
      </c>
      <c r="F22" s="12" t="e">
        <f t="shared" si="0"/>
        <v>#DIV/0!</v>
      </c>
    </row>
    <row r="23" spans="1:6" ht="16.5" x14ac:dyDescent="0.45">
      <c r="A23" s="19"/>
      <c r="B23" s="20"/>
      <c r="C23" s="20"/>
      <c r="D23" s="6" t="e">
        <f>B72</f>
        <v>#DIV/0!</v>
      </c>
      <c r="E23" s="7" t="e">
        <f>C72</f>
        <v>#DIV/0!</v>
      </c>
      <c r="F23" s="12" t="e">
        <f>IF(AND(B23&lt;D23,C23&lt;E23),"Blue",(IF(AND(B23&lt;D23,C23&gt;E23),"Red",(IF(AND(B23&gt;D23,C23&gt;E23),"Green",(IF(AND(B23&gt;D23,C23&lt;E23),"Yellow")))))))</f>
        <v>#DIV/0!</v>
      </c>
    </row>
    <row r="24" spans="1:6" ht="16.5" x14ac:dyDescent="0.45">
      <c r="A24" s="19"/>
      <c r="B24" s="20"/>
      <c r="C24" s="20"/>
      <c r="D24" s="6" t="e">
        <f>B72</f>
        <v>#DIV/0!</v>
      </c>
      <c r="E24" s="7" t="e">
        <f>C72</f>
        <v>#DIV/0!</v>
      </c>
      <c r="F24" s="12" t="e">
        <f t="shared" si="0"/>
        <v>#DIV/0!</v>
      </c>
    </row>
    <row r="25" spans="1:6" ht="16.5" x14ac:dyDescent="0.45">
      <c r="A25" s="19"/>
      <c r="B25" s="20"/>
      <c r="C25" s="20"/>
      <c r="D25" s="6" t="e">
        <f>B72</f>
        <v>#DIV/0!</v>
      </c>
      <c r="E25" s="7" t="e">
        <f>C72</f>
        <v>#DIV/0!</v>
      </c>
      <c r="F25" s="12" t="e">
        <f t="shared" si="0"/>
        <v>#DIV/0!</v>
      </c>
    </row>
    <row r="26" spans="1:6" ht="16.5" x14ac:dyDescent="0.45">
      <c r="A26" s="19"/>
      <c r="B26" s="20"/>
      <c r="C26" s="20"/>
      <c r="D26" s="6" t="e">
        <f>B72</f>
        <v>#DIV/0!</v>
      </c>
      <c r="E26" s="7" t="e">
        <f>C72</f>
        <v>#DIV/0!</v>
      </c>
      <c r="F26" s="12" t="e">
        <f t="shared" si="0"/>
        <v>#DIV/0!</v>
      </c>
    </row>
    <row r="27" spans="1:6" ht="16.5" x14ac:dyDescent="0.45">
      <c r="A27" s="19"/>
      <c r="B27" s="20"/>
      <c r="C27" s="20"/>
      <c r="D27" s="6" t="e">
        <f>B72</f>
        <v>#DIV/0!</v>
      </c>
      <c r="E27" s="7" t="e">
        <f>C72</f>
        <v>#DIV/0!</v>
      </c>
      <c r="F27" s="12" t="e">
        <f t="shared" si="0"/>
        <v>#DIV/0!</v>
      </c>
    </row>
    <row r="28" spans="1:6" ht="16.5" x14ac:dyDescent="0.45">
      <c r="A28" s="19"/>
      <c r="B28" s="20"/>
      <c r="C28" s="20"/>
      <c r="D28" s="6" t="e">
        <f>B72</f>
        <v>#DIV/0!</v>
      </c>
      <c r="E28" s="7" t="e">
        <f>C72</f>
        <v>#DIV/0!</v>
      </c>
      <c r="F28" s="12" t="e">
        <f t="shared" si="0"/>
        <v>#DIV/0!</v>
      </c>
    </row>
    <row r="29" spans="1:6" ht="16.5" x14ac:dyDescent="0.45">
      <c r="A29" s="19"/>
      <c r="B29" s="20"/>
      <c r="C29" s="20"/>
      <c r="D29" s="6" t="e">
        <f>B72</f>
        <v>#DIV/0!</v>
      </c>
      <c r="E29" s="7" t="e">
        <f>C72</f>
        <v>#DIV/0!</v>
      </c>
      <c r="F29" s="12" t="e">
        <f t="shared" si="0"/>
        <v>#DIV/0!</v>
      </c>
    </row>
    <row r="30" spans="1:6" ht="16.5" x14ac:dyDescent="0.45">
      <c r="A30" s="19"/>
      <c r="B30" s="20"/>
      <c r="C30" s="20"/>
      <c r="D30" s="6" t="e">
        <f>B72</f>
        <v>#DIV/0!</v>
      </c>
      <c r="E30" s="7" t="e">
        <f>C72</f>
        <v>#DIV/0!</v>
      </c>
      <c r="F30" s="12" t="e">
        <f t="shared" si="0"/>
        <v>#DIV/0!</v>
      </c>
    </row>
    <row r="31" spans="1:6" ht="16.5" x14ac:dyDescent="0.45">
      <c r="A31" s="19"/>
      <c r="B31" s="20"/>
      <c r="C31" s="20"/>
      <c r="D31" s="6" t="e">
        <f>B72</f>
        <v>#DIV/0!</v>
      </c>
      <c r="E31" s="7" t="e">
        <f>C72</f>
        <v>#DIV/0!</v>
      </c>
      <c r="F31" s="12" t="e">
        <f t="shared" si="0"/>
        <v>#DIV/0!</v>
      </c>
    </row>
    <row r="32" spans="1:6" ht="16.5" x14ac:dyDescent="0.45">
      <c r="A32" s="19"/>
      <c r="B32" s="20"/>
      <c r="C32" s="20"/>
      <c r="D32" s="6" t="e">
        <f>B72</f>
        <v>#DIV/0!</v>
      </c>
      <c r="E32" s="7" t="e">
        <f>C72</f>
        <v>#DIV/0!</v>
      </c>
      <c r="F32" s="12" t="e">
        <f t="shared" si="0"/>
        <v>#DIV/0!</v>
      </c>
    </row>
    <row r="33" spans="1:6" ht="16.5" x14ac:dyDescent="0.45">
      <c r="A33" s="19"/>
      <c r="B33" s="20"/>
      <c r="C33" s="20"/>
      <c r="D33" s="6" t="e">
        <f>B72</f>
        <v>#DIV/0!</v>
      </c>
      <c r="E33" s="7" t="e">
        <f>C72</f>
        <v>#DIV/0!</v>
      </c>
      <c r="F33" s="12" t="e">
        <f t="shared" si="0"/>
        <v>#DIV/0!</v>
      </c>
    </row>
    <row r="34" spans="1:6" ht="16.5" x14ac:dyDescent="0.45">
      <c r="A34" s="19"/>
      <c r="B34" s="20"/>
      <c r="C34" s="20"/>
      <c r="D34" s="6" t="e">
        <f>B72</f>
        <v>#DIV/0!</v>
      </c>
      <c r="E34" s="7" t="e">
        <f>C72</f>
        <v>#DIV/0!</v>
      </c>
      <c r="F34" s="12" t="e">
        <f t="shared" si="0"/>
        <v>#DIV/0!</v>
      </c>
    </row>
    <row r="35" spans="1:6" ht="16.5" x14ac:dyDescent="0.45">
      <c r="A35" s="19"/>
      <c r="B35" s="20"/>
      <c r="C35" s="20"/>
      <c r="D35" s="6" t="e">
        <f>B72</f>
        <v>#DIV/0!</v>
      </c>
      <c r="E35" s="7" t="e">
        <f>C72</f>
        <v>#DIV/0!</v>
      </c>
      <c r="F35" s="12" t="e">
        <f t="shared" si="0"/>
        <v>#DIV/0!</v>
      </c>
    </row>
    <row r="36" spans="1:6" ht="16.5" x14ac:dyDescent="0.45">
      <c r="A36" s="19"/>
      <c r="B36" s="20"/>
      <c r="C36" s="20"/>
      <c r="D36" s="6" t="e">
        <f>B72</f>
        <v>#DIV/0!</v>
      </c>
      <c r="E36" s="7" t="e">
        <f>C72</f>
        <v>#DIV/0!</v>
      </c>
      <c r="F36" s="12" t="e">
        <f t="shared" si="0"/>
        <v>#DIV/0!</v>
      </c>
    </row>
    <row r="37" spans="1:6" ht="16.5" x14ac:dyDescent="0.45">
      <c r="A37" s="19"/>
      <c r="B37" s="20"/>
      <c r="C37" s="20"/>
      <c r="D37" s="6" t="e">
        <f>B72</f>
        <v>#DIV/0!</v>
      </c>
      <c r="E37" s="7" t="e">
        <f>C72</f>
        <v>#DIV/0!</v>
      </c>
      <c r="F37" s="12" t="e">
        <f t="shared" si="0"/>
        <v>#DIV/0!</v>
      </c>
    </row>
    <row r="38" spans="1:6" ht="16.5" x14ac:dyDescent="0.45">
      <c r="A38" s="19"/>
      <c r="B38" s="20"/>
      <c r="C38" s="20"/>
      <c r="D38" s="6" t="e">
        <f>B72</f>
        <v>#DIV/0!</v>
      </c>
      <c r="E38" s="7" t="e">
        <f>C72</f>
        <v>#DIV/0!</v>
      </c>
      <c r="F38" s="12" t="e">
        <f t="shared" si="0"/>
        <v>#DIV/0!</v>
      </c>
    </row>
    <row r="39" spans="1:6" ht="16.5" x14ac:dyDescent="0.45">
      <c r="A39" s="19"/>
      <c r="B39" s="20"/>
      <c r="C39" s="20"/>
      <c r="D39" s="6" t="e">
        <f>B72</f>
        <v>#DIV/0!</v>
      </c>
      <c r="E39" s="7" t="e">
        <f>C72</f>
        <v>#DIV/0!</v>
      </c>
      <c r="F39" s="12" t="e">
        <f t="shared" si="0"/>
        <v>#DIV/0!</v>
      </c>
    </row>
    <row r="40" spans="1:6" ht="16.5" x14ac:dyDescent="0.45">
      <c r="A40" s="19"/>
      <c r="B40" s="20"/>
      <c r="C40" s="20"/>
      <c r="D40" s="6" t="e">
        <f>B72</f>
        <v>#DIV/0!</v>
      </c>
      <c r="E40" s="7" t="e">
        <f>C72</f>
        <v>#DIV/0!</v>
      </c>
      <c r="F40" s="12" t="e">
        <f t="shared" si="0"/>
        <v>#DIV/0!</v>
      </c>
    </row>
    <row r="41" spans="1:6" ht="16.5" x14ac:dyDescent="0.45">
      <c r="A41" s="19"/>
      <c r="B41" s="20"/>
      <c r="C41" s="20"/>
      <c r="D41" s="6" t="e">
        <f>B72</f>
        <v>#DIV/0!</v>
      </c>
      <c r="E41" s="7" t="e">
        <f>C72</f>
        <v>#DIV/0!</v>
      </c>
      <c r="F41" s="12" t="e">
        <f t="shared" si="0"/>
        <v>#DIV/0!</v>
      </c>
    </row>
    <row r="42" spans="1:6" ht="16.5" x14ac:dyDescent="0.45">
      <c r="A42" s="19"/>
      <c r="B42" s="20"/>
      <c r="C42" s="20"/>
      <c r="D42" s="6" t="e">
        <f>B72</f>
        <v>#DIV/0!</v>
      </c>
      <c r="E42" s="7" t="e">
        <f>C72</f>
        <v>#DIV/0!</v>
      </c>
      <c r="F42" s="12" t="e">
        <f t="shared" si="0"/>
        <v>#DIV/0!</v>
      </c>
    </row>
    <row r="43" spans="1:6" ht="16.5" x14ac:dyDescent="0.45">
      <c r="A43" s="19"/>
      <c r="B43" s="20"/>
      <c r="C43" s="20"/>
      <c r="D43" s="6" t="e">
        <f>B72</f>
        <v>#DIV/0!</v>
      </c>
      <c r="E43" s="7" t="e">
        <f>C72</f>
        <v>#DIV/0!</v>
      </c>
      <c r="F43" s="12" t="e">
        <f t="shared" si="0"/>
        <v>#DIV/0!</v>
      </c>
    </row>
    <row r="44" spans="1:6" ht="16.5" x14ac:dyDescent="0.45">
      <c r="A44" s="19"/>
      <c r="B44" s="20"/>
      <c r="C44" s="20"/>
      <c r="D44" s="6" t="e">
        <f>B72</f>
        <v>#DIV/0!</v>
      </c>
      <c r="E44" s="7" t="e">
        <f>C72</f>
        <v>#DIV/0!</v>
      </c>
      <c r="F44" s="12" t="e">
        <f t="shared" si="0"/>
        <v>#DIV/0!</v>
      </c>
    </row>
    <row r="45" spans="1:6" ht="16.5" x14ac:dyDescent="0.45">
      <c r="A45" s="19"/>
      <c r="B45" s="20"/>
      <c r="C45" s="20"/>
      <c r="D45" s="6" t="e">
        <f>B72</f>
        <v>#DIV/0!</v>
      </c>
      <c r="E45" s="7" t="e">
        <f>C72</f>
        <v>#DIV/0!</v>
      </c>
      <c r="F45" s="12" t="e">
        <f t="shared" si="0"/>
        <v>#DIV/0!</v>
      </c>
    </row>
    <row r="46" spans="1:6" ht="16.5" x14ac:dyDescent="0.45">
      <c r="A46" s="19"/>
      <c r="B46" s="20"/>
      <c r="C46" s="20"/>
      <c r="D46" s="6" t="e">
        <f>B72</f>
        <v>#DIV/0!</v>
      </c>
      <c r="E46" s="7" t="e">
        <f>C72</f>
        <v>#DIV/0!</v>
      </c>
      <c r="F46" s="12" t="e">
        <f t="shared" si="0"/>
        <v>#DIV/0!</v>
      </c>
    </row>
    <row r="47" spans="1:6" ht="16.5" x14ac:dyDescent="0.45">
      <c r="A47" s="19"/>
      <c r="B47" s="20"/>
      <c r="C47" s="20"/>
      <c r="D47" s="6" t="e">
        <f>B72</f>
        <v>#DIV/0!</v>
      </c>
      <c r="E47" s="7" t="e">
        <f>C72</f>
        <v>#DIV/0!</v>
      </c>
      <c r="F47" s="12" t="e">
        <f t="shared" si="0"/>
        <v>#DIV/0!</v>
      </c>
    </row>
    <row r="48" spans="1:6" ht="16.5" x14ac:dyDescent="0.45">
      <c r="A48" s="19"/>
      <c r="B48" s="20"/>
      <c r="C48" s="20"/>
      <c r="D48" s="6" t="e">
        <f>B72</f>
        <v>#DIV/0!</v>
      </c>
      <c r="E48" s="7" t="e">
        <f>C72</f>
        <v>#DIV/0!</v>
      </c>
      <c r="F48" s="12" t="e">
        <f t="shared" si="0"/>
        <v>#DIV/0!</v>
      </c>
    </row>
    <row r="49" spans="1:6" ht="16.5" x14ac:dyDescent="0.45">
      <c r="A49" s="19"/>
      <c r="B49" s="20"/>
      <c r="C49" s="20"/>
      <c r="D49" s="6" t="e">
        <f>B72</f>
        <v>#DIV/0!</v>
      </c>
      <c r="E49" s="7" t="e">
        <f>C72</f>
        <v>#DIV/0!</v>
      </c>
      <c r="F49" s="12" t="e">
        <f t="shared" si="0"/>
        <v>#DIV/0!</v>
      </c>
    </row>
    <row r="50" spans="1:6" ht="16.5" x14ac:dyDescent="0.45">
      <c r="A50" s="19"/>
      <c r="B50" s="20"/>
      <c r="C50" s="20"/>
      <c r="D50" s="6" t="e">
        <f>B72</f>
        <v>#DIV/0!</v>
      </c>
      <c r="E50" s="7" t="e">
        <f>C72</f>
        <v>#DIV/0!</v>
      </c>
      <c r="F50" s="12" t="e">
        <f t="shared" si="0"/>
        <v>#DIV/0!</v>
      </c>
    </row>
    <row r="51" spans="1:6" ht="16.5" x14ac:dyDescent="0.45">
      <c r="A51" s="19"/>
      <c r="B51" s="20"/>
      <c r="C51" s="20"/>
      <c r="D51" s="6" t="e">
        <f>B72</f>
        <v>#DIV/0!</v>
      </c>
      <c r="E51" s="7" t="e">
        <f>C72</f>
        <v>#DIV/0!</v>
      </c>
      <c r="F51" s="12" t="e">
        <f t="shared" si="0"/>
        <v>#DIV/0!</v>
      </c>
    </row>
    <row r="52" spans="1:6" ht="16.5" x14ac:dyDescent="0.45">
      <c r="A52" s="19"/>
      <c r="B52" s="20"/>
      <c r="C52" s="20"/>
      <c r="D52" s="6" t="e">
        <f>B72</f>
        <v>#DIV/0!</v>
      </c>
      <c r="E52" s="7" t="e">
        <f>C72</f>
        <v>#DIV/0!</v>
      </c>
      <c r="F52" s="12" t="e">
        <f t="shared" si="0"/>
        <v>#DIV/0!</v>
      </c>
    </row>
    <row r="53" spans="1:6" ht="16.5" x14ac:dyDescent="0.45">
      <c r="A53" s="19"/>
      <c r="B53" s="20"/>
      <c r="C53" s="20"/>
      <c r="D53" s="6" t="e">
        <f>B72</f>
        <v>#DIV/0!</v>
      </c>
      <c r="E53" s="7" t="e">
        <f>C72</f>
        <v>#DIV/0!</v>
      </c>
      <c r="F53" s="12" t="e">
        <f t="shared" si="0"/>
        <v>#DIV/0!</v>
      </c>
    </row>
    <row r="54" spans="1:6" x14ac:dyDescent="0.35">
      <c r="A54" s="21"/>
      <c r="B54" s="22"/>
      <c r="C54" s="23"/>
      <c r="D54" s="6" t="e">
        <f>B72</f>
        <v>#DIV/0!</v>
      </c>
      <c r="E54" s="7" t="e">
        <f>C72</f>
        <v>#DIV/0!</v>
      </c>
      <c r="F54" s="12" t="e">
        <f t="shared" si="0"/>
        <v>#DIV/0!</v>
      </c>
    </row>
    <row r="55" spans="1:6" x14ac:dyDescent="0.35">
      <c r="A55" s="21"/>
      <c r="B55" s="22"/>
      <c r="C55" s="23"/>
      <c r="D55" s="6" t="e">
        <f>B72</f>
        <v>#DIV/0!</v>
      </c>
      <c r="E55" s="7" t="e">
        <f>C72</f>
        <v>#DIV/0!</v>
      </c>
      <c r="F55" s="12" t="e">
        <f t="shared" si="0"/>
        <v>#DIV/0!</v>
      </c>
    </row>
    <row r="56" spans="1:6" x14ac:dyDescent="0.35">
      <c r="A56" s="21"/>
      <c r="B56" s="22"/>
      <c r="C56" s="23"/>
      <c r="D56" s="6" t="e">
        <f>B72</f>
        <v>#DIV/0!</v>
      </c>
      <c r="E56" s="7" t="e">
        <f>C72</f>
        <v>#DIV/0!</v>
      </c>
      <c r="F56" s="12" t="e">
        <f t="shared" si="0"/>
        <v>#DIV/0!</v>
      </c>
    </row>
    <row r="57" spans="1:6" x14ac:dyDescent="0.35">
      <c r="A57" s="21"/>
      <c r="B57" s="22"/>
      <c r="C57" s="23"/>
      <c r="D57" s="6" t="e">
        <f>B72</f>
        <v>#DIV/0!</v>
      </c>
      <c r="E57" s="7" t="e">
        <f>C72</f>
        <v>#DIV/0!</v>
      </c>
      <c r="F57" s="12" t="e">
        <f t="shared" si="0"/>
        <v>#DIV/0!</v>
      </c>
    </row>
    <row r="58" spans="1:6" x14ac:dyDescent="0.35">
      <c r="A58" s="21"/>
      <c r="B58" s="22"/>
      <c r="C58" s="23"/>
      <c r="D58" s="6" t="e">
        <f>B72</f>
        <v>#DIV/0!</v>
      </c>
      <c r="E58" s="7" t="e">
        <f>C72</f>
        <v>#DIV/0!</v>
      </c>
      <c r="F58" s="12" t="e">
        <f t="shared" si="0"/>
        <v>#DIV/0!</v>
      </c>
    </row>
    <row r="59" spans="1:6" x14ac:dyDescent="0.35">
      <c r="A59" s="21"/>
      <c r="B59" s="22"/>
      <c r="C59" s="23"/>
      <c r="D59" s="6" t="e">
        <f>B72</f>
        <v>#DIV/0!</v>
      </c>
      <c r="E59" s="7" t="e">
        <f>C72</f>
        <v>#DIV/0!</v>
      </c>
      <c r="F59" s="12" t="e">
        <f t="shared" si="0"/>
        <v>#DIV/0!</v>
      </c>
    </row>
    <row r="60" spans="1:6" x14ac:dyDescent="0.35">
      <c r="A60" s="21"/>
      <c r="B60" s="22"/>
      <c r="C60" s="23"/>
      <c r="D60" s="6" t="e">
        <f>B72</f>
        <v>#DIV/0!</v>
      </c>
      <c r="E60" s="7" t="e">
        <f>C72</f>
        <v>#DIV/0!</v>
      </c>
      <c r="F60" s="12" t="e">
        <f t="shared" si="0"/>
        <v>#DIV/0!</v>
      </c>
    </row>
    <row r="61" spans="1:6" x14ac:dyDescent="0.35">
      <c r="A61" s="21"/>
      <c r="B61" s="22"/>
      <c r="C61" s="23"/>
      <c r="D61" s="6" t="e">
        <f>B72</f>
        <v>#DIV/0!</v>
      </c>
      <c r="E61" s="7" t="e">
        <f>C72</f>
        <v>#DIV/0!</v>
      </c>
      <c r="F61" s="12" t="e">
        <f t="shared" si="0"/>
        <v>#DIV/0!</v>
      </c>
    </row>
    <row r="62" spans="1:6" x14ac:dyDescent="0.35">
      <c r="A62" s="21"/>
      <c r="B62" s="22"/>
      <c r="C62" s="23"/>
      <c r="D62" s="6" t="e">
        <f>B72</f>
        <v>#DIV/0!</v>
      </c>
      <c r="E62" s="7" t="e">
        <f>C72</f>
        <v>#DIV/0!</v>
      </c>
      <c r="F62" s="12" t="e">
        <f t="shared" si="0"/>
        <v>#DIV/0!</v>
      </c>
    </row>
    <row r="63" spans="1:6" x14ac:dyDescent="0.35">
      <c r="A63" s="21"/>
      <c r="B63" s="22"/>
      <c r="C63" s="23"/>
      <c r="D63" s="6" t="e">
        <f>B72</f>
        <v>#DIV/0!</v>
      </c>
      <c r="E63" s="7" t="e">
        <f>C72</f>
        <v>#DIV/0!</v>
      </c>
      <c r="F63" s="12" t="e">
        <f t="shared" si="0"/>
        <v>#DIV/0!</v>
      </c>
    </row>
    <row r="64" spans="1:6" x14ac:dyDescent="0.35">
      <c r="A64" s="21"/>
      <c r="B64" s="22"/>
      <c r="C64" s="23"/>
      <c r="D64" s="6" t="e">
        <f>B72</f>
        <v>#DIV/0!</v>
      </c>
      <c r="E64" s="7" t="e">
        <f>C72</f>
        <v>#DIV/0!</v>
      </c>
      <c r="F64" s="12" t="e">
        <f t="shared" si="0"/>
        <v>#DIV/0!</v>
      </c>
    </row>
    <row r="65" spans="1:6" x14ac:dyDescent="0.35">
      <c r="A65" s="21"/>
      <c r="B65" s="22"/>
      <c r="C65" s="23"/>
      <c r="D65" s="6" t="e">
        <f>B72</f>
        <v>#DIV/0!</v>
      </c>
      <c r="E65" s="7" t="e">
        <f>C72</f>
        <v>#DIV/0!</v>
      </c>
      <c r="F65" s="12" t="e">
        <f t="shared" si="0"/>
        <v>#DIV/0!</v>
      </c>
    </row>
    <row r="66" spans="1:6" x14ac:dyDescent="0.35">
      <c r="A66" s="21"/>
      <c r="B66" s="22"/>
      <c r="C66" s="23"/>
      <c r="D66" s="6" t="e">
        <f>B72</f>
        <v>#DIV/0!</v>
      </c>
      <c r="E66" s="7" t="e">
        <f>C72</f>
        <v>#DIV/0!</v>
      </c>
      <c r="F66" s="12" t="e">
        <f t="shared" si="0"/>
        <v>#DIV/0!</v>
      </c>
    </row>
    <row r="67" spans="1:6" x14ac:dyDescent="0.35">
      <c r="A67" s="21"/>
      <c r="B67" s="22"/>
      <c r="C67" s="23"/>
      <c r="D67" s="6" t="e">
        <f>B72</f>
        <v>#DIV/0!</v>
      </c>
      <c r="E67" s="7" t="e">
        <f>C72</f>
        <v>#DIV/0!</v>
      </c>
      <c r="F67" s="12" t="e">
        <f t="shared" si="0"/>
        <v>#DIV/0!</v>
      </c>
    </row>
    <row r="68" spans="1:6" x14ac:dyDescent="0.35">
      <c r="A68" s="21"/>
      <c r="B68" s="22"/>
      <c r="C68" s="23"/>
      <c r="D68" s="6" t="e">
        <f>B72</f>
        <v>#DIV/0!</v>
      </c>
      <c r="E68" s="7" t="e">
        <f>C72</f>
        <v>#DIV/0!</v>
      </c>
      <c r="F68" s="12" t="e">
        <f t="shared" si="0"/>
        <v>#DIV/0!</v>
      </c>
    </row>
    <row r="69" spans="1:6" x14ac:dyDescent="0.35">
      <c r="A69" s="15"/>
      <c r="B69" s="16"/>
      <c r="C69" s="17"/>
      <c r="D69" s="6"/>
      <c r="E69" s="7"/>
      <c r="F69" s="18"/>
    </row>
    <row r="70" spans="1:6" x14ac:dyDescent="0.35">
      <c r="A70" s="15"/>
      <c r="B70" s="16"/>
      <c r="C70" s="17"/>
      <c r="D70" s="6"/>
      <c r="E70" s="7"/>
      <c r="F70" s="18"/>
    </row>
    <row r="71" spans="1:6" x14ac:dyDescent="0.35">
      <c r="A71" s="15"/>
      <c r="B71" s="16"/>
      <c r="C71" s="17"/>
      <c r="D71" s="6"/>
      <c r="E71" s="7"/>
      <c r="F71" s="18"/>
    </row>
    <row r="72" spans="1:6" x14ac:dyDescent="0.35">
      <c r="A72" s="13" t="s">
        <v>26</v>
      </c>
      <c r="B72" s="8" t="e">
        <f>AVERAGE(B19:B68)</f>
        <v>#DIV/0!</v>
      </c>
      <c r="C72" s="8" t="e">
        <f>AVERAGE(C19:C68)</f>
        <v>#DIV/0!</v>
      </c>
      <c r="D72" s="6"/>
      <c r="E72" s="7"/>
    </row>
    <row r="73" spans="1:6" x14ac:dyDescent="0.35">
      <c r="A73" s="13" t="s">
        <v>27</v>
      </c>
      <c r="B73" s="8" t="e">
        <f>B72-1.1*(MAX(MAX(B19:B68)-B72,B72-MIN(B19:B35)))</f>
        <v>#DIV/0!</v>
      </c>
      <c r="C73" s="8" t="e">
        <f>C72-1.18*(MAX(MAX(C19:C68)-C72,C72-MIN(C19:C35)))</f>
        <v>#DIV/0!</v>
      </c>
      <c r="D73" s="6"/>
    </row>
    <row r="74" spans="1:6" x14ac:dyDescent="0.35">
      <c r="A74" s="13" t="s">
        <v>28</v>
      </c>
      <c r="B74" s="8" t="e">
        <f>B72+1.1*(MAX(MAX(B19:B68)-B72,B72-MIN(B19:B35)))</f>
        <v>#DIV/0!</v>
      </c>
      <c r="C74" s="8" t="e">
        <f>C72+1.18*(MAX(MAX(C19:C68)-C72,C72-MIN(C19:C35)))</f>
        <v>#DIV/0!</v>
      </c>
      <c r="D74" s="6"/>
    </row>
    <row r="75" spans="1:6" x14ac:dyDescent="0.35">
      <c r="D75" s="6"/>
    </row>
    <row r="76" spans="1:6" x14ac:dyDescent="0.35">
      <c r="B76" s="10"/>
      <c r="C76" s="10"/>
      <c r="D76" s="10"/>
    </row>
    <row r="77" spans="1:6" x14ac:dyDescent="0.35">
      <c r="B77" s="10"/>
      <c r="C77" s="10"/>
      <c r="D77" s="10"/>
    </row>
    <row r="78" spans="1:6" x14ac:dyDescent="0.35">
      <c r="D78" s="6"/>
    </row>
    <row r="79" spans="1:6" x14ac:dyDescent="0.35">
      <c r="D79" s="6"/>
    </row>
    <row r="80" spans="1:6" x14ac:dyDescent="0.35">
      <c r="D80" s="6"/>
    </row>
    <row r="81" spans="4:4" x14ac:dyDescent="0.35">
      <c r="D81" s="6"/>
    </row>
    <row r="82" spans="4:4" x14ac:dyDescent="0.35">
      <c r="D82" s="6"/>
    </row>
    <row r="83" spans="4:4" x14ac:dyDescent="0.35">
      <c r="D83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_Plot_50">
                <anchor moveWithCells="1" sizeWithCells="1">
                  <from>
                    <xdr:col>4</xdr:col>
                    <xdr:colOff>342900</xdr:colOff>
                    <xdr:row>74</xdr:row>
                    <xdr:rowOff>50800</xdr:rowOff>
                  </from>
                  <to>
                    <xdr:col>6</xdr:col>
                    <xdr:colOff>355600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ctor xmlns="3bfd6e21-b6f6-4009-9cbb-048d792a80bc" xsi:nil="true"/>
    <Date xmlns="3bfd6e21-b6f6-4009-9cbb-048d792a80bc" xsi:nil="true"/>
    <Companies xmlns="3bfd6e21-b6f6-4009-9cbb-048d792a80bc" xsi:nil="true"/>
    <SharedWithUsers xmlns="47217d6e-4441-486d-b03c-51aa12326d45">
      <UserInfo>
        <DisplayName>Murad Ahmed</DisplayName>
        <AccountId>357</AccountId>
        <AccountType/>
      </UserInfo>
    </SharedWithUsers>
    <TaxCatchAll xmlns="47217d6e-4441-486d-b03c-51aa12326d45" xsi:nil="true"/>
    <lcf76f155ced4ddcb4097134ff3c332f xmlns="3bfd6e21-b6f6-4009-9cbb-048d792a80bc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58591DFAFBA0D4A9C0FEC5B3ACD1148" ma:contentTypeVersion="20" ma:contentTypeDescription="Create a new document." ma:contentTypeScope="" ma:versionID="b724c846cc7bc666b22f856243b1df38">
  <xsd:schema xmlns:xsd="http://www.w3.org/2001/XMLSchema" xmlns:xs="http://www.w3.org/2001/XMLSchema" xmlns:p="http://schemas.microsoft.com/office/2006/metadata/properties" xmlns:ns2="3bfd6e21-b6f6-4009-9cbb-048d792a80bc" xmlns:ns3="47217d6e-4441-486d-b03c-51aa12326d45" targetNamespace="http://schemas.microsoft.com/office/2006/metadata/properties" ma:root="true" ma:fieldsID="de998f8dd983d30ffb92afcb94b0d815" ns2:_="" ns3:_="">
    <xsd:import namespace="3bfd6e21-b6f6-4009-9cbb-048d792a80bc"/>
    <xsd:import namespace="47217d6e-4441-486d-b03c-51aa12326d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Date" minOccurs="0"/>
                <xsd:element ref="ns2:Companies" minOccurs="0"/>
                <xsd:element ref="ns2:Sector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fd6e21-b6f6-4009-9cbb-048d792a80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Date" ma:index="13" nillable="true" ma:displayName="Date" ma:format="DateOnly" ma:internalName="Date">
      <xsd:simpleType>
        <xsd:restriction base="dms:DateTime"/>
      </xsd:simpleType>
    </xsd:element>
    <xsd:element name="Companies" ma:index="14" nillable="true" ma:displayName="Companies" ma:format="Dropdown" ma:internalName="Companies">
      <xsd:simpleType>
        <xsd:restriction base="dms:Note">
          <xsd:maxLength value="255"/>
        </xsd:restriction>
      </xsd:simpleType>
    </xsd:element>
    <xsd:element name="Sector" ma:index="15" nillable="true" ma:displayName="Sector" ma:format="Dropdown" ma:internalName="Sector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d6b5006e-da64-4e38-b0dd-813611c89f0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217d6e-4441-486d-b03c-51aa12326d4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1116243d-7bb1-4da2-b9d9-4970bcbade92}" ma:internalName="TaxCatchAll" ma:showField="CatchAllData" ma:web="47217d6e-4441-486d-b03c-51aa12326d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4B95B7-9478-47A1-82E8-6A3F4402BB62}">
  <ds:schemaRefs>
    <ds:schemaRef ds:uri="47217d6e-4441-486d-b03c-51aa12326d45"/>
    <ds:schemaRef ds:uri="http://purl.org/dc/elements/1.1/"/>
    <ds:schemaRef ds:uri="http://purl.org/dc/terms/"/>
    <ds:schemaRef ds:uri="3bfd6e21-b6f6-4009-9cbb-048d792a80bc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FCCD353-0D4F-445E-B1F3-42A952D55E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B255E06-4E30-4286-A965-D071CD26CD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fd6e21-b6f6-4009-9cbb-048d792a80bc"/>
    <ds:schemaRef ds:uri="47217d6e-4441-486d-b03c-51aa12326d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mtx_base_1</vt:lpstr>
      <vt:lpstr>mtx_base_2</vt:lpstr>
      <vt:lpstr>mtx_base_3</vt:lpstr>
      <vt:lpstr>mtx_base_4</vt:lpstr>
      <vt:lpstr>mtx_base_5</vt:lpstr>
      <vt:lpstr>mtx_base_6</vt:lpstr>
      <vt:lpstr>mtx_base_7</vt:lpstr>
      <vt:lpstr>Dashboard Drivers</vt:lpstr>
      <vt:lpstr>Dashboard</vt:lpstr>
      <vt:lpstr>Simplified dashboard</vt:lpstr>
      <vt:lpstr>mtx_base_50 (7)</vt:lpstr>
      <vt:lpstr>mtx_base_50 (8)</vt:lpstr>
      <vt:lpstr>mtx_base_50 (9)</vt:lpstr>
      <vt:lpstr>mtx_base_50 (10)</vt:lpstr>
      <vt:lpstr>mtx_base_50 (11)</vt:lpstr>
      <vt:lpstr>mtx_base_50 (12)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 Cowan</dc:creator>
  <cp:keywords/>
  <dc:description/>
  <cp:lastModifiedBy>Murad Ahmed</cp:lastModifiedBy>
  <cp:revision/>
  <dcterms:created xsi:type="dcterms:W3CDTF">2021-01-06T14:11:45Z</dcterms:created>
  <dcterms:modified xsi:type="dcterms:W3CDTF">2024-01-10T01:19:57Z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0x010100358591DFAFBA0D4A9C0FEC5B3ACD1148</vt:lpwstr>
  </property>
  <property fmtid="{D5CDD505-2E9C-101B-9397-08002B2CF9AE}" pid="3" name="MediaServiceImageTags">
    <vt:lpwstr/>
  </property>
</Properties>
</file>